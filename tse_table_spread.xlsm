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" windowWidth="16092" windowHeight="9312"/>
  </bookViews>
  <sheets>
    <sheet name="summary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A907" i="1" l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K2" i="1"/>
  <c r="J2" i="1"/>
  <c r="I2" i="1"/>
  <c r="H2" i="1"/>
  <c r="G2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<sst xmlns="http://schemas.openxmlformats.org/spreadsheetml/2006/main" count="2" uniqueCount="2">
  <si>
    <t>壓力值</t>
  </si>
  <si>
    <t>股票代號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</si>
</sst>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新細明體"/>
      <family val="2"/>
      <scheme val="minor"/>
    </font>
    <font>
      <sz val="11"/>
      <color rgb="FF0000FF"/>
      <name val="新細明體"/>
      <family val="2"/>
      <scheme val="minor"/>
    </font>
    <font>
      <sz val="11"/>
      <color rgb="FF000000"/>
      <name val="Calibri"/>
      <family val="2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一般" xfId="0" builtinId="0"/>
  </cellStyles>
  <dxfs count="1">
    <dxf>
      <font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60960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to update!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se_pressure_data/005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50"/>
    </sheetNames>
    <sheetDataSet>
      <sheetData sheetId="0">
        <row r="240">
          <cell r="A240" t="str">
            <v>107/01/18</v>
          </cell>
        </row>
        <row r="241">
          <cell r="A241" t="str">
            <v>107/01/19</v>
          </cell>
        </row>
        <row r="242">
          <cell r="A242" t="str">
            <v>107/01/22</v>
          </cell>
        </row>
        <row r="243">
          <cell r="A243" t="str">
            <v>107/01/23</v>
          </cell>
        </row>
        <row r="244">
          <cell r="A244" t="str">
            <v>107/01/24</v>
          </cell>
        </row>
        <row r="245">
          <cell r="A245" t="str">
            <v>107/01/25</v>
          </cell>
        </row>
        <row r="246">
          <cell r="A246" t="str">
            <v>107/01/26</v>
          </cell>
        </row>
        <row r="247">
          <cell r="A247" t="str">
            <v>107/01/29</v>
          </cell>
        </row>
        <row r="248">
          <cell r="A248" t="str">
            <v>107/01/30</v>
          </cell>
        </row>
        <row r="249">
          <cell r="A249" t="str">
            <v>107/01/31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DBD7B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ummary"/>
  <dimension ref="A1:L907"/>
  <sheetViews>
    <sheetView tabSelected="1" topLeftCell="A280" workbookViewId="0">
      <selection activeCell="A467" sqref="A467"/>
    </sheetView>
  </sheetViews>
  <sheetFormatPr defaultRowHeight="15" x14ac:dyDescent="0.3"/>
  <cols>
    <col min="1" max="1" width="13.75" style="1" customWidth="1"/>
    <col min="2" max="26" width="13.75" customWidth="1"/>
  </cols>
  <sheetData>
    <row r="1" spans="1:12" x14ac:dyDescent="0.3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x14ac:dyDescent="0.3">
      <c r="A2" s="2" t="s">
        <v>1</v>
      </c>
      <c r="B2" s="2" t="str">
        <f>'[1]0050'!A249</f>
        <v>107/01/31</v>
      </c>
      <c r="C2" s="2" t="str">
        <f>'[1]0050'!A248</f>
        <v>107/01/30</v>
      </c>
      <c r="D2" s="2" t="str">
        <f>'[1]0050'!A247</f>
        <v>107/01/29</v>
      </c>
      <c r="E2" s="2" t="str">
        <f>'[1]0050'!A246</f>
        <v>107/01/26</v>
      </c>
      <c r="F2" s="2" t="str">
        <f>'[1]0050'!A245</f>
        <v>107/01/25</v>
      </c>
      <c r="G2" s="2" t="str">
        <f>'[1]0050'!A244</f>
        <v>107/01/24</v>
      </c>
      <c r="H2" s="2" t="str">
        <f>'[1]0050'!A243</f>
        <v>107/01/23</v>
      </c>
      <c r="I2" s="2" t="str">
        <f>'[1]0050'!A242</f>
        <v>107/01/22</v>
      </c>
      <c r="J2" s="2" t="str">
        <f>'[1]0050'!A241</f>
        <v>107/01/19</v>
      </c>
      <c r="K2" s="2" t="str">
        <f>'[1]0050'!A240</f>
        <v>107/01/18</v>
      </c>
    </row>
    <row r="3" spans="1:12" x14ac:dyDescent="0.3">
      <c r="A3" s="1" t="str">
        <f>HYPERLINK("[.\tse_pressure_data\0050.xlsx]0050!$A268","﻿台灣50          ")</f>
        <v xml:space="preserve">﻿台灣50          </v>
      </c>
      <c r="B3">
        <v>0.64989698080760561</v>
      </c>
      <c r="C3">
        <v>0.59953537422243963</v>
      </c>
      <c r="D3">
        <v>0.51177322816208859</v>
      </c>
      <c r="E3">
        <v>0.43097301486648348</v>
      </c>
      <c r="F3">
        <v>0.38649700855924196</v>
      </c>
      <c r="G3">
        <v>0.35855445685423631</v>
      </c>
      <c r="H3">
        <v>0.33480271092987191</v>
      </c>
      <c r="I3">
        <v>0.33045604080523949</v>
      </c>
      <c r="J3">
        <v>0.35025782164436431</v>
      </c>
      <c r="K3">
        <v>0.39227001849441745</v>
      </c>
    </row>
    <row r="4" spans="1:12" x14ac:dyDescent="0.3">
      <c r="A4" s="1" t="str">
        <f>HYPERLINK("[.\tse_pressure_data\0051.xlsx]0051!$A268","﻿中100           ")</f>
        <v xml:space="preserve">﻿中100           </v>
      </c>
      <c r="B4">
        <v>0.39100346020761245</v>
      </c>
      <c r="C4">
        <v>0.33137829912023459</v>
      </c>
      <c r="D4">
        <v>0.30724637681159422</v>
      </c>
      <c r="E4">
        <v>0.29775280898876405</v>
      </c>
      <c r="F4">
        <v>0.26224783861671469</v>
      </c>
      <c r="G4">
        <v>0.20822622107969152</v>
      </c>
      <c r="H4">
        <v>0.22680412371134021</v>
      </c>
      <c r="I4">
        <v>0.22454308093994779</v>
      </c>
      <c r="J4">
        <v>0.23529411764705882</v>
      </c>
      <c r="K4">
        <v>0.20141342756183744</v>
      </c>
    </row>
    <row r="5" spans="1:12" x14ac:dyDescent="0.3">
      <c r="A5" s="1" t="str">
        <f>HYPERLINK("[.\tse_pressure_data\0052.xlsx]0052!$A268","﻿FB科技          ")</f>
        <v xml:space="preserve">﻿FB科技          </v>
      </c>
      <c r="B5">
        <v>0.73584905660377353</v>
      </c>
      <c r="C5">
        <v>0.71698113207547165</v>
      </c>
      <c r="D5">
        <v>0.58181818181818179</v>
      </c>
      <c r="E5">
        <v>0.5357142857142857</v>
      </c>
      <c r="F5">
        <v>0.55555555555555558</v>
      </c>
      <c r="G5">
        <v>0.67307692307692313</v>
      </c>
      <c r="H5">
        <v>0.54716981132075471</v>
      </c>
      <c r="I5">
        <v>0.65217391304347827</v>
      </c>
      <c r="J5">
        <v>0.65217391304347827</v>
      </c>
      <c r="K5">
        <v>0.93220338983050843</v>
      </c>
    </row>
    <row r="6" spans="1:12" x14ac:dyDescent="0.3">
      <c r="A6" s="1" t="str">
        <f>HYPERLINK("[.\tse_pressure_data\0053.xlsx]0053!$A268","﻿寶電子          ")</f>
        <v xml:space="preserve">﻿寶電子          </v>
      </c>
      <c r="B6">
        <v>0.44131455399061031</v>
      </c>
      <c r="C6">
        <v>0.43835616438356162</v>
      </c>
      <c r="D6">
        <v>0.43891402714932126</v>
      </c>
      <c r="E6">
        <v>0.42600896860986548</v>
      </c>
      <c r="F6">
        <v>0.42261904761904762</v>
      </c>
      <c r="G6">
        <v>0.31952662721893493</v>
      </c>
      <c r="H6">
        <v>0.38461538461538464</v>
      </c>
      <c r="I6">
        <v>0.55963302752293576</v>
      </c>
      <c r="J6">
        <v>0.69318181818181823</v>
      </c>
      <c r="K6">
        <v>0.59223300970873782</v>
      </c>
    </row>
    <row r="7" spans="1:12" x14ac:dyDescent="0.3">
      <c r="A7" s="1" t="str">
        <f>HYPERLINK("[.\tse_pressure_data\0054.xlsx]0054!$A268","﻿台商50          ")</f>
        <v xml:space="preserve">﻿台商50          </v>
      </c>
      <c r="B7">
        <v>0.4576271186440678</v>
      </c>
      <c r="C7">
        <v>0.4375</v>
      </c>
      <c r="D7">
        <v>0.39534883720930231</v>
      </c>
      <c r="E7">
        <v>0.38759689922480622</v>
      </c>
      <c r="F7">
        <v>0.453125</v>
      </c>
      <c r="G7">
        <v>0.48305084745762711</v>
      </c>
      <c r="H7">
        <v>0.34453781512605042</v>
      </c>
      <c r="I7">
        <v>0.43902439024390244</v>
      </c>
      <c r="J7">
        <v>0.62857142857142856</v>
      </c>
      <c r="K7">
        <v>0.65671641791044777</v>
      </c>
    </row>
    <row r="8" spans="1:12" x14ac:dyDescent="0.3">
      <c r="A8" s="1" t="str">
        <f>HYPERLINK("[.\tse_pressure_data\0055.xlsx]0055!$A268","﻿寶金融          ")</f>
        <v xml:space="preserve">﻿寶金融          </v>
      </c>
      <c r="B8">
        <v>0.47194244604316549</v>
      </c>
      <c r="C8">
        <v>0.46635071090047392</v>
      </c>
      <c r="D8">
        <v>0.41701149425287354</v>
      </c>
      <c r="E8">
        <v>0.40984360625574978</v>
      </c>
      <c r="F8">
        <v>0.52120640904806781</v>
      </c>
      <c r="G8">
        <v>0.52623906705539358</v>
      </c>
      <c r="H8">
        <v>0.4910150558523555</v>
      </c>
      <c r="I8">
        <v>0.50875486381322954</v>
      </c>
      <c r="J8">
        <v>0.4889107934943322</v>
      </c>
      <c r="K8">
        <v>0.51152525747915645</v>
      </c>
    </row>
    <row r="9" spans="1:12" x14ac:dyDescent="0.3">
      <c r="A9" s="1" t="str">
        <f>HYPERLINK("[.\tse_pressure_data\0056.xlsx]0056!$A268","﻿高股息          ")</f>
        <v xml:space="preserve">﻿高股息          </v>
      </c>
      <c r="B9">
        <v>0.32483908899616287</v>
      </c>
      <c r="C9">
        <v>0.3046312949640288</v>
      </c>
      <c r="D9">
        <v>0.2619736842105263</v>
      </c>
      <c r="E9">
        <v>0.29697135588580997</v>
      </c>
      <c r="F9">
        <v>0.29887863548329346</v>
      </c>
      <c r="G9">
        <v>0.28257394084732212</v>
      </c>
      <c r="H9">
        <v>0.29106679254189283</v>
      </c>
      <c r="I9">
        <v>0.26653178148600731</v>
      </c>
      <c r="J9">
        <v>0.3117191461896639</v>
      </c>
      <c r="K9">
        <v>0.29180119246812625</v>
      </c>
    </row>
    <row r="10" spans="1:12" x14ac:dyDescent="0.3">
      <c r="A10" s="1" t="str">
        <f>HYPERLINK("[.\tse_pressure_data\0057.xlsx]0057!$A268","﻿FB摩台          ")</f>
        <v xml:space="preserve">﻿FB摩台          </v>
      </c>
      <c r="B10">
        <v>0.86792452830188682</v>
      </c>
      <c r="C10">
        <v>0.92452830188679247</v>
      </c>
      <c r="D10">
        <v>1.04</v>
      </c>
      <c r="E10">
        <v>0.98039215686274506</v>
      </c>
      <c r="F10">
        <v>1.0810810810810811</v>
      </c>
      <c r="G10">
        <v>1</v>
      </c>
      <c r="H10">
        <v>0.94871794871794868</v>
      </c>
      <c r="I10">
        <v>0.97297297297297303</v>
      </c>
      <c r="J10">
        <v>2.4516129032258065</v>
      </c>
      <c r="K10">
        <v>2.7142857142857144</v>
      </c>
    </row>
    <row r="11" spans="1:12" x14ac:dyDescent="0.3">
      <c r="A11" s="1" t="str">
        <f>HYPERLINK("[.\tse_pressure_data\0058.xlsx]0058!$A268","﻿FB發達          ")</f>
        <v xml:space="preserve">﻿FB發達          </v>
      </c>
      <c r="B11">
        <v>0.50980392156862742</v>
      </c>
      <c r="C11">
        <v>0.49019607843137253</v>
      </c>
      <c r="D11">
        <v>0.3888888888888889</v>
      </c>
      <c r="E11">
        <v>0.43396226415094341</v>
      </c>
      <c r="F11">
        <v>0.44230769230769229</v>
      </c>
      <c r="G11">
        <v>0.46938775510204084</v>
      </c>
      <c r="H11">
        <v>0.42222222222222222</v>
      </c>
      <c r="I11">
        <v>0.47619047619047616</v>
      </c>
      <c r="J11">
        <v>0.65</v>
      </c>
      <c r="K11">
        <v>0.55769230769230771</v>
      </c>
    </row>
    <row r="12" spans="1:12" x14ac:dyDescent="0.3">
      <c r="A12" s="1" t="str">
        <f>HYPERLINK("[.\tse_pressure_data\0059.xlsx]0059!$A268","﻿FB金融          ")</f>
        <v xml:space="preserve">﻿FB金融          </v>
      </c>
      <c r="B12">
        <v>1.1632653061224489</v>
      </c>
      <c r="C12">
        <v>1</v>
      </c>
      <c r="D12">
        <v>1.037037037037037</v>
      </c>
      <c r="E12">
        <v>1</v>
      </c>
      <c r="F12">
        <v>1.037037037037037</v>
      </c>
      <c r="G12">
        <v>1.1372549019607843</v>
      </c>
      <c r="H12">
        <v>1</v>
      </c>
      <c r="I12">
        <v>1.08</v>
      </c>
      <c r="J12">
        <v>1.3958333333333333</v>
      </c>
      <c r="K12">
        <v>1.04</v>
      </c>
    </row>
    <row r="13" spans="1:12" x14ac:dyDescent="0.3">
      <c r="A13" s="1" t="str">
        <f>HYPERLINK("[.\tse_pressure_data\0061.xlsx]0061!$A268","﻿寶滬深          ")</f>
        <v xml:space="preserve">﻿寶滬深          </v>
      </c>
      <c r="B13">
        <v>0.58701127121093266</v>
      </c>
      <c r="C13">
        <v>0.5560813909852812</v>
      </c>
      <c r="D13">
        <v>0.45945834874450336</v>
      </c>
      <c r="E13">
        <v>0.43886253952404725</v>
      </c>
      <c r="F13">
        <v>0.47967961378099627</v>
      </c>
      <c r="G13">
        <v>0.44956056980566672</v>
      </c>
      <c r="H13">
        <v>0.49972139202674637</v>
      </c>
      <c r="I13">
        <v>0.52482173725151249</v>
      </c>
      <c r="J13">
        <v>0.51090855154931092</v>
      </c>
      <c r="K13">
        <v>0.49537348151977256</v>
      </c>
    </row>
    <row r="14" spans="1:12" x14ac:dyDescent="0.3">
      <c r="A14" s="1" t="str">
        <f>HYPERLINK("[.\tse_pressure_data\00636.xlsx]00636!$A268","﻿CFA50           ")</f>
        <v xml:space="preserve">﻿CFA50           </v>
      </c>
      <c r="B14">
        <v>0.68127482973893305</v>
      </c>
      <c r="C14">
        <v>0.73118960874386185</v>
      </c>
      <c r="D14">
        <v>0.59194968111460544</v>
      </c>
      <c r="E14">
        <v>0.57149220886825902</v>
      </c>
      <c r="F14">
        <v>0.65200195095996094</v>
      </c>
      <c r="G14">
        <v>0.63408353228359127</v>
      </c>
      <c r="H14">
        <v>0.64182996583327778</v>
      </c>
      <c r="I14">
        <v>0.70432140989015413</v>
      </c>
      <c r="J14">
        <v>0.65093256958096735</v>
      </c>
      <c r="K14">
        <v>0.65617646167674948</v>
      </c>
    </row>
    <row r="15" spans="1:12" x14ac:dyDescent="0.3">
      <c r="A15" s="1" t="str">
        <f>HYPERLINK("[.\tse_pressure_data\00639.xlsx]00639!$A268","﻿深100           ")</f>
        <v xml:space="preserve">﻿深100           </v>
      </c>
      <c r="B15">
        <v>0.85196099215603138</v>
      </c>
      <c r="C15">
        <v>0.81669384171579085</v>
      </c>
      <c r="D15">
        <v>0.66765176203874255</v>
      </c>
      <c r="E15">
        <v>0.5632099967543005</v>
      </c>
      <c r="F15">
        <v>0.55915750915750917</v>
      </c>
      <c r="G15">
        <v>0.50683316136368417</v>
      </c>
      <c r="H15">
        <v>0.54457908308801717</v>
      </c>
      <c r="I15">
        <v>0.63758293838862556</v>
      </c>
      <c r="J15">
        <v>0.71618412530883446</v>
      </c>
      <c r="K15">
        <v>0.57137141942710834</v>
      </c>
    </row>
    <row r="16" spans="1:12" x14ac:dyDescent="0.3">
      <c r="A16" s="1" t="str">
        <f>HYPERLINK("[.\tse_pressure_data\00643.xlsx]00643!$A268","﻿深中小          ")</f>
        <v xml:space="preserve">﻿深中小          </v>
      </c>
      <c r="B16">
        <v>1.2056468967891882</v>
      </c>
      <c r="C16">
        <v>1.0791313030454319</v>
      </c>
      <c r="D16">
        <v>0.94622823984526117</v>
      </c>
      <c r="E16">
        <v>0.78578689176647365</v>
      </c>
      <c r="F16">
        <v>0.73134527948649375</v>
      </c>
      <c r="G16">
        <v>0.73561774606843189</v>
      </c>
      <c r="H16">
        <v>0.70740944017563112</v>
      </c>
      <c r="I16">
        <v>0.7614071525929772</v>
      </c>
      <c r="J16">
        <v>0.85725962252935062</v>
      </c>
      <c r="K16">
        <v>0.83989966061679211</v>
      </c>
    </row>
    <row r="17" spans="1:11" x14ac:dyDescent="0.3">
      <c r="A17" s="1" t="str">
        <f>HYPERLINK("[.\tse_pressure_data\00645.xlsx]00645!$A268","﻿FB日本          ")</f>
        <v xml:space="preserve">﻿FB日本          </v>
      </c>
      <c r="B17">
        <v>0.66594124047878134</v>
      </c>
      <c r="C17">
        <v>0.64942212438084757</v>
      </c>
      <c r="D17">
        <v>0.61325366648560564</v>
      </c>
      <c r="E17">
        <v>0.66059602649006621</v>
      </c>
      <c r="F17">
        <v>0.7023875624652971</v>
      </c>
      <c r="G17">
        <v>0.66267682263329708</v>
      </c>
      <c r="H17">
        <v>0.68346111719605696</v>
      </c>
      <c r="I17">
        <v>0.6964285714285714</v>
      </c>
      <c r="J17">
        <v>0.67843353557639274</v>
      </c>
      <c r="K17">
        <v>0.66154690071311029</v>
      </c>
    </row>
    <row r="18" spans="1:11" x14ac:dyDescent="0.3">
      <c r="A18" s="1" t="str">
        <f>HYPERLINK("[.\tse_pressure_data\00646.xlsx]00646!$A268","﻿S&amp;P500          ")</f>
        <v xml:space="preserve">﻿S&amp;P500          </v>
      </c>
      <c r="B18">
        <v>0.47922761849034523</v>
      </c>
      <c r="C18">
        <v>0.48054145516074448</v>
      </c>
      <c r="D18">
        <v>0.45423919146546882</v>
      </c>
      <c r="E18">
        <v>0.46938775510204084</v>
      </c>
      <c r="F18">
        <v>0.49355216881594371</v>
      </c>
      <c r="G18">
        <v>0.43014032946918851</v>
      </c>
      <c r="H18">
        <v>0.4171741778319123</v>
      </c>
      <c r="I18">
        <v>0.45219123505976094</v>
      </c>
      <c r="J18">
        <v>0.43550531914893614</v>
      </c>
      <c r="K18">
        <v>0.41693393200769724</v>
      </c>
    </row>
    <row r="19" spans="1:11" x14ac:dyDescent="0.3">
      <c r="A19" s="1" t="str">
        <f>HYPERLINK("[.\tse_pressure_data\00649.xlsx]00649!$A268","﻿FH香港          ")</f>
        <v xml:space="preserve">﻿FH香港          </v>
      </c>
      <c r="B19">
        <v>1.0933512424445937</v>
      </c>
      <c r="C19">
        <v>1.1312584573748308</v>
      </c>
      <c r="D19">
        <v>1.0495049504950495</v>
      </c>
      <c r="E19">
        <v>1.029296875</v>
      </c>
      <c r="F19">
        <v>1.0288713910761156</v>
      </c>
      <c r="G19">
        <v>1.0547762191048764</v>
      </c>
      <c r="H19">
        <v>1.0033692722371967</v>
      </c>
      <c r="I19">
        <v>1.1016200294550811</v>
      </c>
      <c r="J19">
        <v>0.66100443131462339</v>
      </c>
      <c r="K19">
        <v>0.60388035569927245</v>
      </c>
    </row>
    <row r="20" spans="1:11" x14ac:dyDescent="0.3">
      <c r="A20" s="1" t="str">
        <f>HYPERLINK("[.\tse_pressure_data\00652.xlsx]00652!$A268","﻿FB印度          ")</f>
        <v xml:space="preserve">﻿FB印度          </v>
      </c>
      <c r="B20">
        <v>0.56846780162842336</v>
      </c>
      <c r="C20">
        <v>0.55325443786982254</v>
      </c>
      <c r="D20">
        <v>0.52366863905325445</v>
      </c>
      <c r="E20">
        <v>0.54911059551430785</v>
      </c>
      <c r="F20">
        <v>0.60082987551867217</v>
      </c>
      <c r="G20">
        <v>0.56213991769547322</v>
      </c>
      <c r="H20">
        <v>0.59338695263628238</v>
      </c>
      <c r="I20">
        <v>0.72039473684210531</v>
      </c>
      <c r="J20">
        <v>0.74736842105263157</v>
      </c>
      <c r="K20">
        <v>0.74814814814814812</v>
      </c>
    </row>
    <row r="21" spans="1:11" x14ac:dyDescent="0.3">
      <c r="A21" s="1" t="str">
        <f>HYPERLINK("[.\tse_pressure_data\00657.xlsx]00657!$A268","﻿CF日經          ")</f>
        <v xml:space="preserve">﻿CF日經          </v>
      </c>
      <c r="B21">
        <v>1.9262966333030027</v>
      </c>
      <c r="C21">
        <v>1.8794392523364487</v>
      </c>
      <c r="D21">
        <v>1.5035913806863528</v>
      </c>
      <c r="E21">
        <v>1.3811544991511036</v>
      </c>
      <c r="F21">
        <v>1.3125564588979224</v>
      </c>
      <c r="G21">
        <v>1.0930442637759712</v>
      </c>
      <c r="H21">
        <v>0.98104693140794219</v>
      </c>
      <c r="I21">
        <v>1.0677799607072691</v>
      </c>
      <c r="J21">
        <v>1.043222003929273</v>
      </c>
      <c r="K21">
        <v>0.88786008230452673</v>
      </c>
    </row>
    <row r="22" spans="1:11" x14ac:dyDescent="0.3">
      <c r="A22" s="1" t="str">
        <f>HYPERLINK("[.\tse_pressure_data\1101.xlsx]1101!$A268","﻿台泥            ")</f>
        <v xml:space="preserve">﻿台泥            </v>
      </c>
      <c r="B22">
        <v>1.0081050744179945</v>
      </c>
      <c r="C22">
        <v>0.91642992111417965</v>
      </c>
      <c r="D22">
        <v>0.90173428859686089</v>
      </c>
      <c r="E22">
        <v>0.87394245479512656</v>
      </c>
      <c r="F22">
        <v>0.9069115520844514</v>
      </c>
      <c r="G22">
        <v>0.93792559718716417</v>
      </c>
      <c r="H22">
        <v>0.88159733419327102</v>
      </c>
      <c r="I22">
        <v>0.80360622115877622</v>
      </c>
      <c r="J22">
        <v>0.73760818869046685</v>
      </c>
      <c r="K22">
        <v>0.73832679202854001</v>
      </c>
    </row>
    <row r="23" spans="1:11" x14ac:dyDescent="0.3">
      <c r="A23" s="1" t="str">
        <f>HYPERLINK("[.\tse_pressure_data\1102.xlsx]1102!$A268","﻿亞泥            ")</f>
        <v xml:space="preserve">﻿亞泥            </v>
      </c>
      <c r="B23">
        <v>0.74009355341685035</v>
      </c>
      <c r="C23">
        <v>0.73438716402549253</v>
      </c>
      <c r="D23">
        <v>0.74534749510433285</v>
      </c>
      <c r="E23">
        <v>0.70298452468680916</v>
      </c>
      <c r="F23">
        <v>0.68144514780460574</v>
      </c>
      <c r="G23">
        <v>0.69266016224777238</v>
      </c>
      <c r="H23">
        <v>0.67642425833552111</v>
      </c>
      <c r="I23">
        <v>0.6706992614863333</v>
      </c>
      <c r="J23">
        <v>0.62662553892530404</v>
      </c>
      <c r="K23">
        <v>0.61441191552841357</v>
      </c>
    </row>
    <row r="24" spans="1:11" x14ac:dyDescent="0.3">
      <c r="A24" s="1" t="str">
        <f>HYPERLINK("[.\tse_pressure_data\1103.xlsx]1103!$A268","﻿嘉泥            ")</f>
        <v xml:space="preserve">﻿嘉泥            </v>
      </c>
      <c r="B24">
        <v>0.94257388701833145</v>
      </c>
      <c r="C24">
        <v>0.97488094126435709</v>
      </c>
      <c r="D24">
        <v>0.95425303788420301</v>
      </c>
      <c r="E24">
        <v>0.80207501995211494</v>
      </c>
      <c r="F24">
        <v>0.82866830183234741</v>
      </c>
      <c r="G24">
        <v>0.83146551724137929</v>
      </c>
      <c r="H24">
        <v>0.89512001729979096</v>
      </c>
      <c r="I24">
        <v>0.80300827908740446</v>
      </c>
      <c r="J24">
        <v>0.78875617534863363</v>
      </c>
      <c r="K24">
        <v>0.79205069124423966</v>
      </c>
    </row>
    <row r="25" spans="1:11" x14ac:dyDescent="0.3">
      <c r="A25" s="1" t="str">
        <f>HYPERLINK("[.\tse_pressure_data\1104.xlsx]1104!$A268","﻿環泥            ")</f>
        <v xml:space="preserve">﻿環泥            </v>
      </c>
      <c r="B25">
        <v>1.3278526800394608</v>
      </c>
      <c r="C25">
        <v>1.3208883167042162</v>
      </c>
      <c r="D25">
        <v>1.267605633802817</v>
      </c>
      <c r="E25">
        <v>1.2222857142857142</v>
      </c>
      <c r="F25">
        <v>1.1983074753173484</v>
      </c>
      <c r="G25">
        <v>1.1875355719977234</v>
      </c>
      <c r="H25">
        <v>1.2060937050876688</v>
      </c>
      <c r="I25">
        <v>1.2131624927198603</v>
      </c>
      <c r="J25">
        <v>1.0884492289787606</v>
      </c>
      <c r="K25">
        <v>1.0341463414634147</v>
      </c>
    </row>
    <row r="26" spans="1:11" x14ac:dyDescent="0.3">
      <c r="A26" s="1" t="str">
        <f>HYPERLINK("[.\tse_pressure_data\1108.xlsx]1108!$A268","﻿幸福            ")</f>
        <v xml:space="preserve">﻿幸福            </v>
      </c>
      <c r="B26">
        <v>0.63575383304940369</v>
      </c>
      <c r="C26">
        <v>0.6644891839794389</v>
      </c>
      <c r="D26">
        <v>0.65380116959064327</v>
      </c>
      <c r="E26">
        <v>0.65082209106239464</v>
      </c>
      <c r="F26">
        <v>0.66549819417888256</v>
      </c>
      <c r="G26">
        <v>0.63055024431697471</v>
      </c>
      <c r="H26">
        <v>0.62415531481282849</v>
      </c>
      <c r="I26">
        <v>0.62814287255854107</v>
      </c>
      <c r="J26">
        <v>0.59209410767274273</v>
      </c>
      <c r="K26">
        <v>0.5689673508454749</v>
      </c>
    </row>
    <row r="27" spans="1:11" x14ac:dyDescent="0.3">
      <c r="A27" s="1" t="str">
        <f>HYPERLINK("[.\tse_pressure_data\1109.xlsx]1109!$A268","﻿信大            ")</f>
        <v xml:space="preserve">﻿信大            </v>
      </c>
      <c r="B27">
        <v>1.0925188136343515</v>
      </c>
      <c r="C27">
        <v>1.0307935254638769</v>
      </c>
      <c r="D27">
        <v>0.94639027877055037</v>
      </c>
      <c r="E27">
        <v>0.95187165775401072</v>
      </c>
      <c r="F27">
        <v>0.93714488636363635</v>
      </c>
      <c r="G27">
        <v>0.92945590994371485</v>
      </c>
      <c r="H27">
        <v>0.94623655913978499</v>
      </c>
      <c r="I27">
        <v>0.91141396933560481</v>
      </c>
      <c r="J27">
        <v>0.82536200087757794</v>
      </c>
      <c r="K27">
        <v>0.82838589981447119</v>
      </c>
    </row>
    <row r="28" spans="1:11" x14ac:dyDescent="0.3">
      <c r="A28" s="1" t="str">
        <f>HYPERLINK("[.\tse_pressure_data\1110.xlsx]1110!$A268","﻿東泥            ")</f>
        <v xml:space="preserve">﻿東泥            </v>
      </c>
      <c r="B28">
        <v>1.3385178408051235</v>
      </c>
      <c r="C28">
        <v>1.250777202072539</v>
      </c>
      <c r="D28">
        <v>1.2315315315315316</v>
      </c>
      <c r="E28">
        <v>1.0481927710843373</v>
      </c>
      <c r="F28">
        <v>0.90142671854734113</v>
      </c>
      <c r="G28">
        <v>0.79930191972076792</v>
      </c>
      <c r="H28">
        <v>0.81136496777973055</v>
      </c>
      <c r="I28">
        <v>0.80388692579505305</v>
      </c>
      <c r="J28">
        <v>0.80856123662306778</v>
      </c>
      <c r="K28">
        <v>0.78007075471698117</v>
      </c>
    </row>
    <row r="29" spans="1:11" x14ac:dyDescent="0.3">
      <c r="A29" s="1" t="str">
        <f>HYPERLINK("[.\tse_pressure_data\1201.xlsx]1201!$A268","﻿味全            ")</f>
        <v xml:space="preserve">﻿味全            </v>
      </c>
      <c r="B29">
        <v>0.73406806469717845</v>
      </c>
      <c r="C29">
        <v>0.74223062768350034</v>
      </c>
      <c r="D29">
        <v>0.75132330046704721</v>
      </c>
      <c r="E29">
        <v>0.72448901281624922</v>
      </c>
      <c r="F29">
        <v>0.67340108171036361</v>
      </c>
      <c r="G29">
        <v>0.66326220284859849</v>
      </c>
      <c r="H29">
        <v>0.57599053814311063</v>
      </c>
      <c r="I29">
        <v>0.5223116313094367</v>
      </c>
      <c r="J29">
        <v>0.7761992761992762</v>
      </c>
      <c r="K29">
        <v>0.85865910471946527</v>
      </c>
    </row>
    <row r="30" spans="1:11" x14ac:dyDescent="0.3">
      <c r="A30" s="1" t="str">
        <f>HYPERLINK("[.\tse_pressure_data\1203.xlsx]1203!$A268","﻿味王            ")</f>
        <v xml:space="preserve">﻿味王            </v>
      </c>
      <c r="B30">
        <v>0.81735404392072841</v>
      </c>
      <c r="C30">
        <v>0.81011997913406364</v>
      </c>
      <c r="D30">
        <v>0.75335397316821462</v>
      </c>
      <c r="E30">
        <v>0.75050813008130079</v>
      </c>
      <c r="F30">
        <v>0.74109382839939786</v>
      </c>
      <c r="G30">
        <v>0.74090909090909096</v>
      </c>
      <c r="H30">
        <v>0.74545454545454548</v>
      </c>
      <c r="I30">
        <v>0.72010443864229767</v>
      </c>
      <c r="J30">
        <v>0.65863874345549733</v>
      </c>
      <c r="K30">
        <v>0.6351423965609887</v>
      </c>
    </row>
    <row r="31" spans="1:11" x14ac:dyDescent="0.3">
      <c r="A31" s="1" t="str">
        <f>HYPERLINK("[.\tse_pressure_data\1210.xlsx]1210!$A268","﻿大成            ")</f>
        <v xml:space="preserve">﻿大成            </v>
      </c>
      <c r="B31">
        <v>0.90568199175194741</v>
      </c>
      <c r="C31">
        <v>0.9909034844279988</v>
      </c>
      <c r="D31">
        <v>0.97100461806344163</v>
      </c>
      <c r="E31">
        <v>0.88580686973428391</v>
      </c>
      <c r="F31">
        <v>0.9122920997920998</v>
      </c>
      <c r="G31">
        <v>0.86321580395098774</v>
      </c>
      <c r="H31">
        <v>0.88259545858175825</v>
      </c>
      <c r="I31">
        <v>0.84453907515144244</v>
      </c>
      <c r="J31">
        <v>0.8415576513538181</v>
      </c>
      <c r="K31">
        <v>0.76402894768062646</v>
      </c>
    </row>
    <row r="32" spans="1:11" x14ac:dyDescent="0.3">
      <c r="A32" s="1" t="str">
        <f>HYPERLINK("[.\tse_pressure_data\1213.xlsx]1213!$A268","﻿大飲            ")</f>
        <v xml:space="preserve">﻿大飲            </v>
      </c>
      <c r="B32">
        <v>1.052863436123348</v>
      </c>
      <c r="C32">
        <v>1.0495867768595042</v>
      </c>
      <c r="D32">
        <v>1.0583333333333333</v>
      </c>
      <c r="E32">
        <v>1.0969162995594715</v>
      </c>
      <c r="F32">
        <v>1.1474654377880185</v>
      </c>
      <c r="G32">
        <v>1.1866028708133971</v>
      </c>
      <c r="H32">
        <v>1.1190476190476191</v>
      </c>
      <c r="I32">
        <v>1.1850000000000001</v>
      </c>
      <c r="J32">
        <v>1.1557788944723617</v>
      </c>
      <c r="K32">
        <v>1.0695187165775402</v>
      </c>
    </row>
    <row r="33" spans="1:11" x14ac:dyDescent="0.3">
      <c r="A33" s="1" t="str">
        <f>HYPERLINK("[.\tse_pressure_data\1215.xlsx]1215!$A268","﻿卜蜂            ")</f>
        <v xml:space="preserve">﻿卜蜂            </v>
      </c>
      <c r="B33">
        <v>0.7842423454462718</v>
      </c>
      <c r="C33">
        <v>0.83293932230102441</v>
      </c>
      <c r="D33">
        <v>0.81989568277508951</v>
      </c>
      <c r="E33">
        <v>0.73431137390528256</v>
      </c>
      <c r="F33">
        <v>0.71252991081139871</v>
      </c>
      <c r="G33">
        <v>0.72885419570671872</v>
      </c>
      <c r="H33">
        <v>0.70744502734680215</v>
      </c>
      <c r="I33">
        <v>0.65194441452116769</v>
      </c>
      <c r="J33">
        <v>0.61378222560643969</v>
      </c>
      <c r="K33">
        <v>0.60187772437688614</v>
      </c>
    </row>
    <row r="34" spans="1:11" x14ac:dyDescent="0.3">
      <c r="A34" s="1" t="str">
        <f>HYPERLINK("[.\tse_pressure_data\1216.xlsx]1216!$A268","﻿統一            ")</f>
        <v xml:space="preserve">﻿統一            </v>
      </c>
      <c r="B34">
        <v>0.66423634125556297</v>
      </c>
      <c r="C34">
        <v>0.69529794307844073</v>
      </c>
      <c r="D34">
        <v>0.67091420951252034</v>
      </c>
      <c r="E34">
        <v>0.75060240963855418</v>
      </c>
      <c r="F34">
        <v>0.68153146166175482</v>
      </c>
      <c r="G34">
        <v>0.70603638177309191</v>
      </c>
      <c r="H34">
        <v>0.67218376246743716</v>
      </c>
      <c r="I34">
        <v>0.63929394833839959</v>
      </c>
      <c r="J34">
        <v>0.69637974406649894</v>
      </c>
      <c r="K34">
        <v>0.75944630872483221</v>
      </c>
    </row>
    <row r="35" spans="1:11" x14ac:dyDescent="0.3">
      <c r="A35" s="1" t="str">
        <f>HYPERLINK("[.\tse_pressure_data\1217.xlsx]1217!$A268","﻿愛之味          ")</f>
        <v xml:space="preserve">﻿愛之味          </v>
      </c>
      <c r="B35">
        <v>0.91962461212442292</v>
      </c>
      <c r="C35">
        <v>0.8762575452716298</v>
      </c>
      <c r="D35">
        <v>0.8357007907074383</v>
      </c>
      <c r="E35">
        <v>0.82818819088703155</v>
      </c>
      <c r="F35">
        <v>0.80852053701980597</v>
      </c>
      <c r="G35">
        <v>0.79546821736514939</v>
      </c>
      <c r="H35">
        <v>0.823015442969385</v>
      </c>
      <c r="I35">
        <v>0.84313994109185564</v>
      </c>
      <c r="J35">
        <v>0.77720277815606698</v>
      </c>
      <c r="K35">
        <v>0.77990598470497441</v>
      </c>
    </row>
    <row r="36" spans="1:11" x14ac:dyDescent="0.3">
      <c r="A36" s="1" t="str">
        <f>HYPERLINK("[.\tse_pressure_data\1218.xlsx]1218!$A268","﻿泰山            ")</f>
        <v xml:space="preserve">﻿泰山            </v>
      </c>
      <c r="B36">
        <v>1.5919739395619628</v>
      </c>
      <c r="C36">
        <v>1.5490804343009086</v>
      </c>
      <c r="D36">
        <v>1.4216655175055544</v>
      </c>
      <c r="E36">
        <v>1.3182080686412012</v>
      </c>
      <c r="F36">
        <v>1.2539696942201253</v>
      </c>
      <c r="G36">
        <v>1.0105630568568016</v>
      </c>
      <c r="H36">
        <v>1.0549862763037512</v>
      </c>
      <c r="I36">
        <v>1.0359776938298255</v>
      </c>
      <c r="J36">
        <v>1.0656961208882336</v>
      </c>
      <c r="K36">
        <v>1.056188027910393</v>
      </c>
    </row>
    <row r="37" spans="1:11" x14ac:dyDescent="0.3">
      <c r="A37" s="1" t="str">
        <f>HYPERLINK("[.\tse_pressure_data\1219.xlsx]1219!$A268","﻿福壽            ")</f>
        <v xml:space="preserve">﻿福壽            </v>
      </c>
      <c r="B37">
        <v>0.95512820512820518</v>
      </c>
      <c r="C37">
        <v>0.95687885010266938</v>
      </c>
      <c r="D37">
        <v>0.95783132530120485</v>
      </c>
      <c r="E37">
        <v>0.95550847457627119</v>
      </c>
      <c r="F37">
        <v>0.948780487804878</v>
      </c>
      <c r="G37">
        <v>0.98003629764065336</v>
      </c>
      <c r="H37">
        <v>0.98281249999999998</v>
      </c>
      <c r="I37">
        <v>0.83355886332882279</v>
      </c>
      <c r="J37">
        <v>0.88760806916426516</v>
      </c>
      <c r="K37">
        <v>1.239193083573487</v>
      </c>
    </row>
    <row r="38" spans="1:11" x14ac:dyDescent="0.3">
      <c r="A38" s="1" t="str">
        <f>HYPERLINK("[.\tse_pressure_data\1220.xlsx]1220!$A268","﻿台榮            ")</f>
        <v xml:space="preserve">﻿台榮            </v>
      </c>
      <c r="B38">
        <v>0.92575285565939769</v>
      </c>
      <c r="C38">
        <v>0.9064449064449065</v>
      </c>
      <c r="D38">
        <v>0.88525415198792146</v>
      </c>
      <c r="E38">
        <v>0.8662109375</v>
      </c>
      <c r="F38">
        <v>0.86699266503667483</v>
      </c>
      <c r="G38">
        <v>0.9601648351648352</v>
      </c>
      <c r="H38">
        <v>0.95990783410138247</v>
      </c>
      <c r="I38">
        <v>0.9730357973035797</v>
      </c>
      <c r="J38">
        <v>0.90331366318656381</v>
      </c>
      <c r="K38">
        <v>0.80562770562770558</v>
      </c>
    </row>
    <row r="39" spans="1:11" x14ac:dyDescent="0.3">
      <c r="A39" s="1" t="str">
        <f>HYPERLINK("[.\tse_pressure_data\1225.xlsx]1225!$A268","﻿福懋油          ")</f>
        <v xml:space="preserve">﻿福懋油          </v>
      </c>
      <c r="B39">
        <v>0.93274853801169588</v>
      </c>
      <c r="C39">
        <v>0.93363844393592677</v>
      </c>
      <c r="D39">
        <v>0.92923433874709982</v>
      </c>
      <c r="E39">
        <v>0.94572271386430673</v>
      </c>
      <c r="F39">
        <v>0.95082938388625593</v>
      </c>
      <c r="G39">
        <v>0.93715680292861503</v>
      </c>
      <c r="H39">
        <v>1.2074074074074075</v>
      </c>
      <c r="I39">
        <v>1.2014742014742015</v>
      </c>
      <c r="J39">
        <v>1.1873920552677029</v>
      </c>
      <c r="K39">
        <v>1.0766028309741882</v>
      </c>
    </row>
    <row r="40" spans="1:11" x14ac:dyDescent="0.3">
      <c r="A40" s="1" t="str">
        <f>HYPERLINK("[.\tse_pressure_data\1227.xlsx]1227!$A268","﻿佳格            ")</f>
        <v xml:space="preserve">﻿佳格            </v>
      </c>
      <c r="B40">
        <v>0.92338322120005489</v>
      </c>
      <c r="C40">
        <v>0.90480098481739846</v>
      </c>
      <c r="D40">
        <v>0.87278965426233834</v>
      </c>
      <c r="E40">
        <v>0.88656636932499</v>
      </c>
      <c r="F40">
        <v>0.82118869598276523</v>
      </c>
      <c r="G40">
        <v>0.79124275595621374</v>
      </c>
      <c r="H40">
        <v>0.78353340292275575</v>
      </c>
      <c r="I40">
        <v>0.79277464410421705</v>
      </c>
      <c r="J40">
        <v>0.85466703056768556</v>
      </c>
      <c r="K40">
        <v>0.82365533850682371</v>
      </c>
    </row>
    <row r="41" spans="1:11" x14ac:dyDescent="0.3">
      <c r="A41" s="1" t="str">
        <f>HYPERLINK("[.\tse_pressure_data\1229.xlsx]1229!$A268","﻿聯華            ")</f>
        <v xml:space="preserve">﻿聯華            </v>
      </c>
      <c r="B41">
        <v>1.0104116610603877</v>
      </c>
      <c r="C41">
        <v>0.88849948390503852</v>
      </c>
      <c r="D41">
        <v>0.86570409055462338</v>
      </c>
      <c r="E41">
        <v>0.8065669480210903</v>
      </c>
      <c r="F41">
        <v>0.68556538218572327</v>
      </c>
      <c r="G41">
        <v>0.65380702715392436</v>
      </c>
      <c r="H41">
        <v>0.6952022577610536</v>
      </c>
      <c r="I41">
        <v>0.73011047358054293</v>
      </c>
      <c r="J41">
        <v>0.61141399162595955</v>
      </c>
      <c r="K41">
        <v>0.56809182813816339</v>
      </c>
    </row>
    <row r="42" spans="1:11" x14ac:dyDescent="0.3">
      <c r="A42" s="1" t="str">
        <f>HYPERLINK("[.\tse_pressure_data\1231.xlsx]1231!$A268","﻿聯華食          ")</f>
        <v xml:space="preserve">﻿聯華食          </v>
      </c>
      <c r="B42">
        <v>0.96066024759284729</v>
      </c>
      <c r="C42">
        <v>0.9719626168224299</v>
      </c>
      <c r="D42">
        <v>0.94923580786026196</v>
      </c>
      <c r="E42">
        <v>0.85636114911080707</v>
      </c>
      <c r="F42">
        <v>0.8970109499852027</v>
      </c>
      <c r="G42">
        <v>0.91501501501501503</v>
      </c>
      <c r="H42">
        <v>0.89627179795550216</v>
      </c>
      <c r="I42">
        <v>0.87432835820895527</v>
      </c>
      <c r="J42">
        <v>0.81577448747152614</v>
      </c>
      <c r="K42">
        <v>0.78418267891952098</v>
      </c>
    </row>
    <row r="43" spans="1:11" x14ac:dyDescent="0.3">
      <c r="A43" s="1" t="str">
        <f>HYPERLINK("[.\tse_pressure_data\1232.xlsx]1232!$A268","﻿大統益          ")</f>
        <v xml:space="preserve">﻿大統益          </v>
      </c>
      <c r="B43">
        <v>1.0632411067193677</v>
      </c>
      <c r="C43">
        <v>0.96071428571428574</v>
      </c>
      <c r="D43">
        <v>0.96271186440677969</v>
      </c>
      <c r="E43">
        <v>0.91856677524429964</v>
      </c>
      <c r="F43">
        <v>0.87125748502994016</v>
      </c>
      <c r="G43">
        <v>0.88046647230320696</v>
      </c>
      <c r="H43">
        <v>0.90055248618784534</v>
      </c>
      <c r="I43">
        <v>0.91117478510028649</v>
      </c>
      <c r="J43">
        <v>0.91142857142857148</v>
      </c>
      <c r="K43">
        <v>0.92082111436950143</v>
      </c>
    </row>
    <row r="44" spans="1:11" x14ac:dyDescent="0.3">
      <c r="A44" s="1" t="str">
        <f>HYPERLINK("[.\tse_pressure_data\1233.xlsx]1233!$A268","﻿天仁            ")</f>
        <v xml:space="preserve">﻿天仁            </v>
      </c>
      <c r="B44">
        <v>0.85774058577405854</v>
      </c>
      <c r="C44">
        <v>0.85425101214574894</v>
      </c>
      <c r="D44">
        <v>0.84799999999999998</v>
      </c>
      <c r="E44">
        <v>0.96138996138996136</v>
      </c>
      <c r="F44">
        <v>0.8497109826589595</v>
      </c>
      <c r="G44">
        <v>0.96220930232558144</v>
      </c>
      <c r="H44">
        <v>0.8294573643410853</v>
      </c>
      <c r="I44">
        <v>0.76744186046511631</v>
      </c>
      <c r="J44">
        <v>0.77493606138107418</v>
      </c>
      <c r="K44">
        <v>0.77260981912144699</v>
      </c>
    </row>
    <row r="45" spans="1:11" x14ac:dyDescent="0.3">
      <c r="A45" s="1" t="str">
        <f>HYPERLINK("[.\tse_pressure_data\1234.xlsx]1234!$A268","﻿黑松            ")</f>
        <v xml:space="preserve">﻿黑松            </v>
      </c>
      <c r="B45">
        <v>1.0872781065088757</v>
      </c>
      <c r="C45">
        <v>1.0707070707070707</v>
      </c>
      <c r="D45">
        <v>1.0839260312944523</v>
      </c>
      <c r="E45">
        <v>0.97594936708860758</v>
      </c>
      <c r="F45">
        <v>0.94409148665819564</v>
      </c>
      <c r="G45">
        <v>0.94871794871794868</v>
      </c>
      <c r="H45">
        <v>0.99212598425196852</v>
      </c>
      <c r="I45">
        <v>0.99460188933873139</v>
      </c>
      <c r="J45">
        <v>0.86307053941908718</v>
      </c>
      <c r="K45">
        <v>0.87087912087912089</v>
      </c>
    </row>
    <row r="46" spans="1:11" x14ac:dyDescent="0.3">
      <c r="A46" s="1" t="str">
        <f>HYPERLINK("[.\tse_pressure_data\1235.xlsx]1235!$A268","﻿興泰            ")</f>
        <v xml:space="preserve">﻿興泰            </v>
      </c>
      <c r="B46">
        <v>2.2388059701492535</v>
      </c>
      <c r="C46">
        <v>2.0935960591133007</v>
      </c>
      <c r="D46">
        <v>1.9902439024390244</v>
      </c>
      <c r="E46">
        <v>2.0761421319796955</v>
      </c>
      <c r="F46">
        <v>2.0049261083743843</v>
      </c>
      <c r="G46">
        <v>2.2142857142857144</v>
      </c>
      <c r="H46">
        <v>1.9479166666666667</v>
      </c>
      <c r="I46">
        <v>1.21875</v>
      </c>
      <c r="J46">
        <v>1.229050279329609</v>
      </c>
      <c r="K46">
        <v>1</v>
      </c>
    </row>
    <row r="47" spans="1:11" x14ac:dyDescent="0.3">
      <c r="A47" s="1" t="str">
        <f>HYPERLINK("[.\tse_pressure_data\1236.xlsx]1236!$A268","﻿宏亞            ")</f>
        <v xml:space="preserve">﻿宏亞            </v>
      </c>
      <c r="B47">
        <v>0.90079365079365081</v>
      </c>
      <c r="C47">
        <v>1</v>
      </c>
      <c r="D47">
        <v>0.90236686390532539</v>
      </c>
      <c r="E47">
        <v>0.70068027210884354</v>
      </c>
      <c r="F47">
        <v>0.67260579064587978</v>
      </c>
      <c r="G47">
        <v>0.7053364269141531</v>
      </c>
      <c r="H47">
        <v>0.68070953436807091</v>
      </c>
      <c r="I47">
        <v>0.69438202247191017</v>
      </c>
      <c r="J47">
        <v>0.71106557377049184</v>
      </c>
      <c r="K47">
        <v>0.77217741935483875</v>
      </c>
    </row>
    <row r="48" spans="1:11" x14ac:dyDescent="0.3">
      <c r="A48" s="1" t="str">
        <f>HYPERLINK("[.\tse_pressure_data\1256.xlsx]1256!$A268","﻿F-鮮活          ")</f>
        <v xml:space="preserve">﻿F-鮮活          </v>
      </c>
      <c r="B48">
        <v>1.0560747663551402</v>
      </c>
      <c r="C48">
        <v>1.2098360655737705</v>
      </c>
      <c r="D48">
        <v>1.1677215189873418</v>
      </c>
      <c r="E48">
        <v>1.1068249258160237</v>
      </c>
      <c r="F48">
        <v>1.1335311572700297</v>
      </c>
      <c r="G48">
        <v>1.1529411764705881</v>
      </c>
      <c r="H48">
        <v>1.0024271844660195</v>
      </c>
      <c r="I48">
        <v>1.0495049504950495</v>
      </c>
      <c r="J48">
        <v>1.1580381471389645</v>
      </c>
      <c r="K48">
        <v>1.0024999999999999</v>
      </c>
    </row>
    <row r="49" spans="1:11" x14ac:dyDescent="0.3">
      <c r="A49" s="1" t="str">
        <f>HYPERLINK("[.\tse_pressure_data\1262.xlsx]1262!$A268","﻿F-綠悅          ")</f>
        <v xml:space="preserve">﻿F-綠悅          </v>
      </c>
      <c r="B49">
        <v>1.3606016140865738</v>
      </c>
      <c r="C49">
        <v>1.5122672184451671</v>
      </c>
      <c r="D49">
        <v>1.4486419534636823</v>
      </c>
      <c r="E49">
        <v>1.5250590617617279</v>
      </c>
      <c r="F49">
        <v>1.4577442908187044</v>
      </c>
      <c r="G49">
        <v>1.5713727023856081</v>
      </c>
      <c r="H49">
        <v>1.3663448100622539</v>
      </c>
      <c r="I49">
        <v>1.5843099583733589</v>
      </c>
      <c r="J49">
        <v>1.6099165046322772</v>
      </c>
      <c r="K49">
        <v>1.6307543125446566</v>
      </c>
    </row>
    <row r="50" spans="1:11" x14ac:dyDescent="0.3">
      <c r="A50" s="1" t="str">
        <f>HYPERLINK("[.\tse_pressure_data\1301.xlsx]1301!$A268","﻿台塑            ")</f>
        <v xml:space="preserve">﻿台塑            </v>
      </c>
      <c r="B50">
        <v>0.78967602740512066</v>
      </c>
      <c r="C50">
        <v>0.80253724394785853</v>
      </c>
      <c r="D50">
        <v>0.77053840731281709</v>
      </c>
      <c r="E50">
        <v>0.70649721762671081</v>
      </c>
      <c r="F50">
        <v>0.8143869019972132</v>
      </c>
      <c r="G50">
        <v>0.80449828955892211</v>
      </c>
      <c r="H50">
        <v>0.75900448118240327</v>
      </c>
      <c r="I50">
        <v>0.69045654258759503</v>
      </c>
      <c r="J50">
        <v>0.73195454080065525</v>
      </c>
      <c r="K50">
        <v>0.69766311330254527</v>
      </c>
    </row>
    <row r="51" spans="1:11" x14ac:dyDescent="0.3">
      <c r="A51" s="1" t="str">
        <f>HYPERLINK("[.\tse_pressure_data\1303.xlsx]1303!$A268","﻿南亞            ")</f>
        <v xml:space="preserve">﻿南亞            </v>
      </c>
      <c r="B51">
        <v>0.73633433341884247</v>
      </c>
      <c r="C51">
        <v>0.67033666185002261</v>
      </c>
      <c r="D51">
        <v>0.67918191280460982</v>
      </c>
      <c r="E51">
        <v>0.66009968171444366</v>
      </c>
      <c r="F51">
        <v>0.68691006783254938</v>
      </c>
      <c r="G51">
        <v>0.68744187007833335</v>
      </c>
      <c r="H51">
        <v>0.65942877454157689</v>
      </c>
      <c r="I51">
        <v>0.65249725432770256</v>
      </c>
      <c r="J51">
        <v>0.61098892021106321</v>
      </c>
      <c r="K51">
        <v>0.60183141534323636</v>
      </c>
    </row>
    <row r="52" spans="1:11" x14ac:dyDescent="0.3">
      <c r="A52" s="1" t="str">
        <f>HYPERLINK("[.\tse_pressure_data\1304.xlsx]1304!$A268","﻿台聚            ")</f>
        <v xml:space="preserve">﻿台聚            </v>
      </c>
      <c r="B52">
        <v>1.4392777546934612</v>
      </c>
      <c r="C52">
        <v>1.5439788599471498</v>
      </c>
      <c r="D52">
        <v>1.4414684267353977</v>
      </c>
      <c r="E52">
        <v>1.4428066431001134</v>
      </c>
      <c r="F52">
        <v>1.2269503546099292</v>
      </c>
      <c r="G52">
        <v>0.73542472797153768</v>
      </c>
      <c r="H52">
        <v>0.77826144308138767</v>
      </c>
      <c r="I52">
        <v>0.76237245737607795</v>
      </c>
      <c r="J52">
        <v>0.78359093112176204</v>
      </c>
      <c r="K52">
        <v>0.76145545396555392</v>
      </c>
    </row>
    <row r="53" spans="1:11" x14ac:dyDescent="0.3">
      <c r="A53" s="1" t="str">
        <f>HYPERLINK("[.\tse_pressure_data\1305.xlsx]1305!$A268","﻿華夏            ")</f>
        <v xml:space="preserve">﻿華夏            </v>
      </c>
      <c r="B53">
        <v>1.006849737735267</v>
      </c>
      <c r="C53">
        <v>1.0285519738776521</v>
      </c>
      <c r="D53">
        <v>0.8928250129046531</v>
      </c>
      <c r="E53">
        <v>1.1508415113252388</v>
      </c>
      <c r="F53">
        <v>1.3063557384545039</v>
      </c>
      <c r="G53">
        <v>1.1333178286089527</v>
      </c>
      <c r="H53">
        <v>1.1125865252949083</v>
      </c>
      <c r="I53">
        <v>0.99427760431450474</v>
      </c>
      <c r="J53">
        <v>0.99685638993214787</v>
      </c>
      <c r="K53">
        <v>0.79592373550100548</v>
      </c>
    </row>
    <row r="54" spans="1:11" x14ac:dyDescent="0.3">
      <c r="A54" s="1" t="str">
        <f>HYPERLINK("[.\tse_pressure_data\1307.xlsx]1307!$A268","﻿三芳            ")</f>
        <v xml:space="preserve">﻿三芳            </v>
      </c>
      <c r="B54">
        <v>1.3509485094850948</v>
      </c>
      <c r="C54">
        <v>1.3208852005532503</v>
      </c>
      <c r="D54">
        <v>1.204993429697766</v>
      </c>
      <c r="E54">
        <v>1.1828793774319066</v>
      </c>
      <c r="F54">
        <v>1.0684273709483794</v>
      </c>
      <c r="G54">
        <v>1.1528822055137844</v>
      </c>
      <c r="H54">
        <v>1.2426564495530013</v>
      </c>
      <c r="I54">
        <v>1.1391941391941391</v>
      </c>
      <c r="J54">
        <v>1.0369942196531792</v>
      </c>
      <c r="K54">
        <v>0.90899122807017541</v>
      </c>
    </row>
    <row r="55" spans="1:11" x14ac:dyDescent="0.3">
      <c r="A55" s="1" t="str">
        <f>HYPERLINK("[.\tse_pressure_data\1308.xlsx]1308!$A268","﻿亞聚            ")</f>
        <v xml:space="preserve">﻿亞聚            </v>
      </c>
      <c r="B55">
        <v>1.6365461847389557</v>
      </c>
      <c r="C55">
        <v>1.6557759626604434</v>
      </c>
      <c r="D55">
        <v>1.6735042735042736</v>
      </c>
      <c r="E55">
        <v>1.5796562112351586</v>
      </c>
      <c r="F55">
        <v>1.7190327070285316</v>
      </c>
      <c r="G55">
        <v>1.3699684022530567</v>
      </c>
      <c r="H55">
        <v>1.4541636495293266</v>
      </c>
      <c r="I55">
        <v>1.3446766450155323</v>
      </c>
      <c r="J55">
        <v>1.2922752808988764</v>
      </c>
      <c r="K55">
        <v>1.2708160442600276</v>
      </c>
    </row>
    <row r="56" spans="1:11" x14ac:dyDescent="0.3">
      <c r="A56" s="1" t="str">
        <f>HYPERLINK("[.\tse_pressure_data\1309.xlsx]1309!$A268","﻿台達化          ")</f>
        <v xml:space="preserve">﻿台達化          </v>
      </c>
      <c r="B56">
        <v>1.6456601820562</v>
      </c>
      <c r="C56">
        <v>1.4886319739528724</v>
      </c>
      <c r="D56">
        <v>1.4294769361883455</v>
      </c>
      <c r="E56">
        <v>1.2863454992222547</v>
      </c>
      <c r="F56">
        <v>1.6700818179611061</v>
      </c>
      <c r="G56">
        <v>0.94609876133598758</v>
      </c>
      <c r="H56">
        <v>0.92892166905688722</v>
      </c>
      <c r="I56">
        <v>0.96270183587701841</v>
      </c>
      <c r="J56">
        <v>1.0017330538085254</v>
      </c>
      <c r="K56">
        <v>0.91735515340586127</v>
      </c>
    </row>
    <row r="57" spans="1:11" x14ac:dyDescent="0.3">
      <c r="A57" s="1" t="str">
        <f>HYPERLINK("[.\tse_pressure_data\1310.xlsx]1310!$A268","﻿台苯            ")</f>
        <v xml:space="preserve">﻿台苯            </v>
      </c>
      <c r="B57">
        <v>1.4976019470758071</v>
      </c>
      <c r="C57">
        <v>1.5655468258223952</v>
      </c>
      <c r="D57">
        <v>1.5869403907989117</v>
      </c>
      <c r="E57">
        <v>1.322710863144076</v>
      </c>
      <c r="F57">
        <v>1.544665990762645</v>
      </c>
      <c r="G57">
        <v>1.0822859181232558</v>
      </c>
      <c r="H57">
        <v>1.1237884094292538</v>
      </c>
      <c r="I57">
        <v>1.1258808281690755</v>
      </c>
      <c r="J57">
        <v>1.1008661173134857</v>
      </c>
      <c r="K57">
        <v>1.0609043168081382</v>
      </c>
    </row>
    <row r="58" spans="1:11" x14ac:dyDescent="0.3">
      <c r="A58" s="1" t="str">
        <f>HYPERLINK("[.\tse_pressure_data\1312.xlsx]1312!$A268","﻿國喬            ")</f>
        <v xml:space="preserve">﻿國喬            </v>
      </c>
      <c r="B58">
        <v>1.2353714460409662</v>
      </c>
      <c r="C58">
        <v>1.3605255070682236</v>
      </c>
      <c r="D58">
        <v>1.3334141350767499</v>
      </c>
      <c r="E58">
        <v>1.394624940584011</v>
      </c>
      <c r="F58">
        <v>1.6270109689213894</v>
      </c>
      <c r="G58">
        <v>1.1575026671867876</v>
      </c>
      <c r="H58">
        <v>1.0985740775158952</v>
      </c>
      <c r="I58">
        <v>1.0480932543538697</v>
      </c>
      <c r="J58">
        <v>1.0872907539574206</v>
      </c>
      <c r="K58">
        <v>1.0436775098798965</v>
      </c>
    </row>
    <row r="59" spans="1:11" x14ac:dyDescent="0.3">
      <c r="A59" s="1" t="str">
        <f>HYPERLINK("[.\tse_pressure_data\1312A.xlsx]1312A!$A268","﻿國喬特          ")</f>
        <v xml:space="preserve">﻿國喬特          </v>
      </c>
      <c r="B59">
        <v>1.1653543307086613</v>
      </c>
      <c r="C59">
        <v>1.1353383458646618</v>
      </c>
      <c r="D59">
        <v>1.2230769230769232</v>
      </c>
      <c r="E59">
        <v>1.1717791411042944</v>
      </c>
      <c r="F59">
        <v>1.1726190476190477</v>
      </c>
      <c r="G59">
        <v>0.55807365439093481</v>
      </c>
      <c r="H59">
        <v>0.54317548746518107</v>
      </c>
      <c r="I59">
        <v>0.47206703910614523</v>
      </c>
      <c r="J59">
        <v>0.47605633802816899</v>
      </c>
      <c r="K59">
        <v>0.47457627118644069</v>
      </c>
    </row>
    <row r="60" spans="1:11" x14ac:dyDescent="0.3">
      <c r="A60" s="1" t="str">
        <f>HYPERLINK("[.\tse_pressure_data\1313.xlsx]1313!$A268","﻿聯成            ")</f>
        <v xml:space="preserve">﻿聯成            </v>
      </c>
      <c r="B60">
        <v>1.1339849441476444</v>
      </c>
      <c r="C60">
        <v>1.2365952592217011</v>
      </c>
      <c r="D60">
        <v>1.1667026094457624</v>
      </c>
      <c r="E60">
        <v>1.2141908444260796</v>
      </c>
      <c r="F60">
        <v>1.2815500188531486</v>
      </c>
      <c r="G60">
        <v>1.0333554179708027</v>
      </c>
      <c r="H60">
        <v>1.1188497340425532</v>
      </c>
      <c r="I60">
        <v>1.1182654402102497</v>
      </c>
      <c r="J60">
        <v>1.1662673926194798</v>
      </c>
      <c r="K60">
        <v>1.1376620935914301</v>
      </c>
    </row>
    <row r="61" spans="1:11" x14ac:dyDescent="0.3">
      <c r="A61" s="1" t="str">
        <f>HYPERLINK("[.\tse_pressure_data\1314.xlsx]1314!$A268","﻿中石化          ")</f>
        <v xml:space="preserve">﻿中石化          </v>
      </c>
      <c r="B61">
        <v>1.1425114338731597</v>
      </c>
      <c r="C61">
        <v>1.1285381821527369</v>
      </c>
      <c r="D61">
        <v>1.0318766226378013</v>
      </c>
      <c r="E61">
        <v>1.0562872690266529</v>
      </c>
      <c r="F61">
        <v>1.0745121726145535</v>
      </c>
      <c r="G61">
        <v>0.93396259812077631</v>
      </c>
      <c r="H61">
        <v>1.0004422663610324</v>
      </c>
      <c r="I61">
        <v>1.0005522175397861</v>
      </c>
      <c r="J61">
        <v>1.0516642430908518</v>
      </c>
      <c r="K61">
        <v>1.0191462534289426</v>
      </c>
    </row>
    <row r="62" spans="1:11" x14ac:dyDescent="0.3">
      <c r="A62" s="1" t="str">
        <f>HYPERLINK("[.\tse_pressure_data\1315.xlsx]1315!$A268","﻿達新            ")</f>
        <v xml:space="preserve">﻿達新            </v>
      </c>
      <c r="B62">
        <v>1.0046620046620047</v>
      </c>
      <c r="C62">
        <v>0.98853211009174313</v>
      </c>
      <c r="D62">
        <v>0.90652173913043477</v>
      </c>
      <c r="E62">
        <v>0.84305835010060359</v>
      </c>
      <c r="F62">
        <v>0.76274509803921564</v>
      </c>
      <c r="G62">
        <v>0.77892561983471076</v>
      </c>
      <c r="H62">
        <v>0.78059071729957807</v>
      </c>
      <c r="I62">
        <v>0.73966942148760328</v>
      </c>
      <c r="J62">
        <v>0.75268817204301075</v>
      </c>
      <c r="K62">
        <v>0.70512820512820518</v>
      </c>
    </row>
    <row r="63" spans="1:11" x14ac:dyDescent="0.3">
      <c r="A63" s="1" t="str">
        <f>HYPERLINK("[.\tse_pressure_data\1316.xlsx]1316!$A268","﻿上曜            ")</f>
        <v xml:space="preserve">﻿上曜            </v>
      </c>
      <c r="B63">
        <v>1.3721764073144496</v>
      </c>
      <c r="C63">
        <v>1.9087003222341568</v>
      </c>
      <c r="D63">
        <v>1.8008270158511372</v>
      </c>
      <c r="E63">
        <v>1.6972688384336954</v>
      </c>
      <c r="F63">
        <v>1.5808869456589631</v>
      </c>
      <c r="G63">
        <v>1.558969584109249</v>
      </c>
      <c r="H63">
        <v>1.6527431421446384</v>
      </c>
      <c r="I63">
        <v>1.3647572566144361</v>
      </c>
      <c r="J63">
        <v>1.3232220239612542</v>
      </c>
      <c r="K63">
        <v>1.2069383794274624</v>
      </c>
    </row>
    <row r="64" spans="1:11" x14ac:dyDescent="0.3">
      <c r="A64" s="1" t="str">
        <f>HYPERLINK("[.\tse_pressure_data\1319.xlsx]1319!$A268","﻿東陽            ")</f>
        <v xml:space="preserve">﻿東陽            </v>
      </c>
      <c r="B64">
        <v>1.6212348944868635</v>
      </c>
      <c r="C64">
        <v>1.848589905993733</v>
      </c>
      <c r="D64">
        <v>1.5471934568959831</v>
      </c>
      <c r="E64">
        <v>1.5644658351409979</v>
      </c>
      <c r="F64">
        <v>1.5071886120996441</v>
      </c>
      <c r="G64">
        <v>1.4407705779334501</v>
      </c>
      <c r="H64">
        <v>1.577872599817129</v>
      </c>
      <c r="I64">
        <v>1.3714627622131494</v>
      </c>
      <c r="J64">
        <v>1.2819527056434064</v>
      </c>
      <c r="K64">
        <v>1.3487906217539694</v>
      </c>
    </row>
    <row r="65" spans="1:11" x14ac:dyDescent="0.3">
      <c r="A65" s="1" t="str">
        <f>HYPERLINK("[.\tse_pressure_data\1321.xlsx]1321!$A268","﻿大洋            ")</f>
        <v xml:space="preserve">﻿大洋            </v>
      </c>
      <c r="B65">
        <v>1.0246687985381453</v>
      </c>
      <c r="C65">
        <v>1.0700228832951946</v>
      </c>
      <c r="D65">
        <v>0.98611713665943601</v>
      </c>
      <c r="E65">
        <v>0.96126315789473682</v>
      </c>
      <c r="F65">
        <v>0.8607389362565977</v>
      </c>
      <c r="G65">
        <v>0.88035933033891389</v>
      </c>
      <c r="H65">
        <v>0.90760425183973836</v>
      </c>
      <c r="I65">
        <v>0.74854402192531688</v>
      </c>
      <c r="J65">
        <v>0.73712921922945784</v>
      </c>
      <c r="K65">
        <v>0.66562716562716562</v>
      </c>
    </row>
    <row r="66" spans="1:11" x14ac:dyDescent="0.3">
      <c r="A66" s="1" t="str">
        <f>HYPERLINK("[.\tse_pressure_data\1323.xlsx]1323!$A268","﻿永裕            ")</f>
        <v xml:space="preserve">﻿永裕            </v>
      </c>
      <c r="B66">
        <v>1.3706327876862936</v>
      </c>
      <c r="C66">
        <v>1.4129545454545454</v>
      </c>
      <c r="D66">
        <v>1.4395343824100022</v>
      </c>
      <c r="E66">
        <v>1.569534935969445</v>
      </c>
      <c r="F66">
        <v>1.5437844458052663</v>
      </c>
      <c r="G66">
        <v>1.2821610937242629</v>
      </c>
      <c r="H66">
        <v>1.6027076717365869</v>
      </c>
      <c r="I66">
        <v>1.3752800105415732</v>
      </c>
      <c r="J66">
        <v>1.1267368421052633</v>
      </c>
      <c r="K66">
        <v>0.78022439551208977</v>
      </c>
    </row>
    <row r="67" spans="1:11" x14ac:dyDescent="0.3">
      <c r="A67" s="1" t="str">
        <f>HYPERLINK("[.\tse_pressure_data\1324.xlsx]1324!$A268","﻿地球            ")</f>
        <v xml:space="preserve">﻿地球            </v>
      </c>
      <c r="B67">
        <v>1.5480769230769231</v>
      </c>
      <c r="C67">
        <v>1.0112179487179487</v>
      </c>
      <c r="D67">
        <v>1.023489932885906</v>
      </c>
      <c r="E67">
        <v>0.98842975206611572</v>
      </c>
      <c r="F67">
        <v>0.99667774086378735</v>
      </c>
      <c r="G67">
        <v>0.97716150081566067</v>
      </c>
      <c r="H67">
        <v>1.044407894736842</v>
      </c>
      <c r="I67">
        <v>1.1005199306759099</v>
      </c>
      <c r="J67">
        <v>1.1839708561020037</v>
      </c>
      <c r="K67">
        <v>1.2580071174377223</v>
      </c>
    </row>
    <row r="68" spans="1:11" x14ac:dyDescent="0.3">
      <c r="A68" s="1" t="str">
        <f>HYPERLINK("[.\tse_pressure_data\1325.xlsx]1325!$A268","﻿恆大            ")</f>
        <v xml:space="preserve">﻿恆大            </v>
      </c>
      <c r="B68">
        <v>1.0325497287522605</v>
      </c>
      <c r="C68">
        <v>0.97446808510638294</v>
      </c>
      <c r="D68">
        <v>0.75703858185610007</v>
      </c>
      <c r="E68">
        <v>0.74129353233830841</v>
      </c>
      <c r="F68">
        <v>0.70936902485659659</v>
      </c>
      <c r="G68">
        <v>0.70439663236669781</v>
      </c>
      <c r="H68">
        <v>0.79327902240325865</v>
      </c>
      <c r="I68">
        <v>0.71163245356793747</v>
      </c>
      <c r="J68">
        <v>0.73746312684365778</v>
      </c>
      <c r="K68">
        <v>0.73406374501992033</v>
      </c>
    </row>
    <row r="69" spans="1:11" x14ac:dyDescent="0.3">
      <c r="A69" s="1" t="str">
        <f>HYPERLINK("[.\tse_pressure_data\1326.xlsx]1326!$A268","﻿台化            ")</f>
        <v xml:space="preserve">﻿台化            </v>
      </c>
      <c r="B69">
        <v>0.9378172867723007</v>
      </c>
      <c r="C69">
        <v>0.95808935155063979</v>
      </c>
      <c r="D69">
        <v>0.85942498522729593</v>
      </c>
      <c r="E69">
        <v>0.87073610415623437</v>
      </c>
      <c r="F69">
        <v>0.95000737665184309</v>
      </c>
      <c r="G69">
        <v>0.89994576729051334</v>
      </c>
      <c r="H69">
        <v>0.86836362153011482</v>
      </c>
      <c r="I69">
        <v>0.86215393535294971</v>
      </c>
      <c r="J69">
        <v>0.93672982425556484</v>
      </c>
      <c r="K69">
        <v>0.91122310948204388</v>
      </c>
    </row>
    <row r="70" spans="1:11" x14ac:dyDescent="0.3">
      <c r="A70" s="1" t="str">
        <f>HYPERLINK("[.\tse_pressure_data\1337.xlsx]1337!$A268","﻿F-再生          ")</f>
        <v xml:space="preserve">﻿F-再生          </v>
      </c>
      <c r="B70">
        <v>0.89202028631957375</v>
      </c>
      <c r="C70">
        <v>0.85528700906344413</v>
      </c>
      <c r="D70">
        <v>0.82065806918163187</v>
      </c>
      <c r="E70">
        <v>0.81668561852893651</v>
      </c>
      <c r="F70">
        <v>0.79802782179961262</v>
      </c>
      <c r="G70">
        <v>0.81217577961958143</v>
      </c>
      <c r="H70">
        <v>0.85850091407678242</v>
      </c>
      <c r="I70">
        <v>0.83169865816234434</v>
      </c>
      <c r="J70">
        <v>0.81237358715050567</v>
      </c>
      <c r="K70">
        <v>0.75307274941866897</v>
      </c>
    </row>
    <row r="71" spans="1:11" x14ac:dyDescent="0.3">
      <c r="A71" s="1" t="str">
        <f>HYPERLINK("[.\tse_pressure_data\1338.xlsx]1338!$A268","﻿F-廣華          ")</f>
        <v xml:space="preserve">﻿F-廣華          </v>
      </c>
      <c r="B71">
        <v>1.0799769850402763</v>
      </c>
      <c r="C71">
        <v>1.1061749091925119</v>
      </c>
      <c r="D71">
        <v>0.98126694601922604</v>
      </c>
      <c r="E71">
        <v>0.94890673806336456</v>
      </c>
      <c r="F71">
        <v>0.85153396639883128</v>
      </c>
      <c r="G71">
        <v>0.80709849157054125</v>
      </c>
      <c r="H71">
        <v>0.86617032867259847</v>
      </c>
      <c r="I71">
        <v>0.82322899505766067</v>
      </c>
      <c r="J71">
        <v>0.88333897731120892</v>
      </c>
      <c r="K71">
        <v>0.89282086014222828</v>
      </c>
    </row>
    <row r="72" spans="1:11" x14ac:dyDescent="0.3">
      <c r="A72" s="1" t="str">
        <f>HYPERLINK("[.\tse_pressure_data\1339.xlsx]1339!$A268","﻿昭輝            ")</f>
        <v xml:space="preserve">﻿昭輝            </v>
      </c>
      <c r="B72">
        <v>1.6877510040160641</v>
      </c>
      <c r="C72">
        <v>1.6736111111111112</v>
      </c>
      <c r="D72">
        <v>1.5411214953271029</v>
      </c>
      <c r="E72">
        <v>1.4586739327883742</v>
      </c>
      <c r="F72">
        <v>1.4122885129118432</v>
      </c>
      <c r="G72">
        <v>1.2843478260869565</v>
      </c>
      <c r="H72">
        <v>1.3026427962489344</v>
      </c>
      <c r="I72">
        <v>1.2632911392405064</v>
      </c>
      <c r="J72">
        <v>1.1634534786253143</v>
      </c>
      <c r="K72">
        <v>1.0716069941715238</v>
      </c>
    </row>
    <row r="73" spans="1:11" x14ac:dyDescent="0.3">
      <c r="A73" s="1" t="str">
        <f>HYPERLINK("[.\tse_pressure_data\1340.xlsx]1340!$A268","﻿F-勝悅          ")</f>
        <v xml:space="preserve">﻿F-勝悅          </v>
      </c>
      <c r="B73">
        <v>1.3579748038982649</v>
      </c>
      <c r="C73">
        <v>1.2048876281911411</v>
      </c>
      <c r="D73">
        <v>1.0678314491264131</v>
      </c>
      <c r="E73">
        <v>1.1180899118089911</v>
      </c>
      <c r="F73">
        <v>1.1157671957671957</v>
      </c>
      <c r="G73">
        <v>1.097410604192355</v>
      </c>
      <c r="H73">
        <v>1.3446969696969697</v>
      </c>
      <c r="I73">
        <v>1.2405259087393659</v>
      </c>
      <c r="J73">
        <v>1.3616726668512877</v>
      </c>
      <c r="K73">
        <v>1.3323179174743838</v>
      </c>
    </row>
    <row r="74" spans="1:11" x14ac:dyDescent="0.3">
      <c r="A74" s="1" t="str">
        <f>HYPERLINK("[.\tse_pressure_data\1402.xlsx]1402!$A268","﻿遠東新          ")</f>
        <v xml:space="preserve">﻿遠東新          </v>
      </c>
      <c r="B74">
        <v>1.3394631130781998</v>
      </c>
      <c r="C74">
        <v>1.411472194110224</v>
      </c>
      <c r="D74">
        <v>1.3821930578592443</v>
      </c>
      <c r="E74">
        <v>1.2544393625305736</v>
      </c>
      <c r="F74">
        <v>1.2226102322450354</v>
      </c>
      <c r="G74">
        <v>1.1992549011187219</v>
      </c>
      <c r="H74">
        <v>1.1690685452060579</v>
      </c>
      <c r="I74">
        <v>1.211688903960616</v>
      </c>
      <c r="J74">
        <v>1.1124450104190784</v>
      </c>
      <c r="K74">
        <v>1.0896465243931293</v>
      </c>
    </row>
    <row r="75" spans="1:11" x14ac:dyDescent="0.3">
      <c r="A75" s="1" t="str">
        <f>HYPERLINK("[.\tse_pressure_data\1409.xlsx]1409!$A268","﻿新纖            ")</f>
        <v xml:space="preserve">﻿新纖            </v>
      </c>
      <c r="B75">
        <v>1.1256998417235595</v>
      </c>
      <c r="C75">
        <v>1.0970643056849954</v>
      </c>
      <c r="D75">
        <v>1.0521784134751107</v>
      </c>
      <c r="E75">
        <v>0.9209997067080069</v>
      </c>
      <c r="F75">
        <v>0.91518482144722824</v>
      </c>
      <c r="G75">
        <v>0.90931219573087008</v>
      </c>
      <c r="H75">
        <v>0.97353942326218668</v>
      </c>
      <c r="I75">
        <v>0.95065817230613447</v>
      </c>
      <c r="J75">
        <v>0.9188541315846821</v>
      </c>
      <c r="K75">
        <v>0.89769744691004538</v>
      </c>
    </row>
    <row r="76" spans="1:11" x14ac:dyDescent="0.3">
      <c r="A76" s="1" t="str">
        <f>HYPERLINK("[.\tse_pressure_data\1410.xlsx]1410!$A268","﻿南染            ")</f>
        <v xml:space="preserve">﻿南染            </v>
      </c>
      <c r="B76">
        <v>1.3482849604221636</v>
      </c>
      <c r="C76">
        <v>1.1085858585858586</v>
      </c>
      <c r="D76">
        <v>1.1136363636363635</v>
      </c>
      <c r="E76">
        <v>1.0368550368550369</v>
      </c>
      <c r="F76">
        <v>0.98721227621483376</v>
      </c>
      <c r="G76">
        <v>1</v>
      </c>
      <c r="H76">
        <v>0.99080459770114937</v>
      </c>
      <c r="I76">
        <v>1.002375296912114</v>
      </c>
      <c r="J76">
        <v>0.96682464454976302</v>
      </c>
      <c r="K76">
        <v>0.94724220623501199</v>
      </c>
    </row>
    <row r="77" spans="1:11" x14ac:dyDescent="0.3">
      <c r="A77" s="1" t="str">
        <f>HYPERLINK("[.\tse_pressure_data\1413.xlsx]1413!$A268","﻿宏洲            ")</f>
        <v xml:space="preserve">﻿宏洲            </v>
      </c>
      <c r="B77">
        <v>2.4668246445497632</v>
      </c>
      <c r="C77">
        <v>2.2281498297389328</v>
      </c>
      <c r="D77">
        <v>2.1640488656195465</v>
      </c>
      <c r="E77">
        <v>2.0271800679501699</v>
      </c>
      <c r="F77">
        <v>1.8622151563328033</v>
      </c>
      <c r="G77">
        <v>1.787525354969574</v>
      </c>
      <c r="H77">
        <v>1.8409552845528456</v>
      </c>
      <c r="I77">
        <v>1.9498806682577565</v>
      </c>
      <c r="J77">
        <v>2.2544517338331773</v>
      </c>
      <c r="K77">
        <v>1.1724221202608065</v>
      </c>
    </row>
    <row r="78" spans="1:11" x14ac:dyDescent="0.3">
      <c r="A78" s="1" t="str">
        <f>HYPERLINK("[.\tse_pressure_data\1414.xlsx]1414!$A268","﻿東和            ")</f>
        <v xml:space="preserve">﻿東和            </v>
      </c>
      <c r="B78">
        <v>0.70380297556617333</v>
      </c>
      <c r="C78">
        <v>0.69363266886007358</v>
      </c>
      <c r="D78">
        <v>0.68267853686858915</v>
      </c>
      <c r="E78">
        <v>0.66228943338437973</v>
      </c>
      <c r="F78">
        <v>0.66311772562488069</v>
      </c>
      <c r="G78">
        <v>0.63464442095727014</v>
      </c>
      <c r="H78">
        <v>0.65668486199738607</v>
      </c>
      <c r="I78">
        <v>0.64937456833704243</v>
      </c>
      <c r="J78">
        <v>0.61301549285233137</v>
      </c>
      <c r="K78">
        <v>0.57079268518861981</v>
      </c>
    </row>
    <row r="79" spans="1:11" x14ac:dyDescent="0.3">
      <c r="A79" s="1" t="str">
        <f>HYPERLINK("[.\tse_pressure_data\1416.xlsx]1416!$A268","﻿廣豐            ")</f>
        <v xml:space="preserve">﻿廣豐            </v>
      </c>
      <c r="B79">
        <v>1.2644404332129964</v>
      </c>
      <c r="C79">
        <v>1.1157094594594594</v>
      </c>
      <c r="D79">
        <v>1.1493174061433447</v>
      </c>
      <c r="E79">
        <v>1.1845493562231759</v>
      </c>
      <c r="F79">
        <v>1.1882046834345186</v>
      </c>
      <c r="G79">
        <v>1.198961937716263</v>
      </c>
      <c r="H79">
        <v>1.1836379460400348</v>
      </c>
      <c r="I79">
        <v>1.0759493670886076</v>
      </c>
      <c r="J79">
        <v>1.1355140186915889</v>
      </c>
      <c r="K79">
        <v>1.1389961389961389</v>
      </c>
    </row>
    <row r="80" spans="1:11" x14ac:dyDescent="0.3">
      <c r="A80" s="1" t="str">
        <f>HYPERLINK("[.\tse_pressure_data\1417.xlsx]1417!$A268","﻿嘉裕            ")</f>
        <v xml:space="preserve">﻿嘉裕            </v>
      </c>
      <c r="B80">
        <v>0.94167016365925305</v>
      </c>
      <c r="C80">
        <v>0.98551733741818692</v>
      </c>
      <c r="D80">
        <v>0.9564606741573034</v>
      </c>
      <c r="E80">
        <v>0.92580553985302427</v>
      </c>
      <c r="F80">
        <v>0.71452443949310684</v>
      </c>
      <c r="G80">
        <v>0.77258768385324061</v>
      </c>
      <c r="H80">
        <v>0.85688140556368964</v>
      </c>
      <c r="I80">
        <v>0.93646734854445324</v>
      </c>
      <c r="J80">
        <v>0.90285049447353116</v>
      </c>
      <c r="K80">
        <v>0.94937205651491363</v>
      </c>
    </row>
    <row r="81" spans="1:11" x14ac:dyDescent="0.3">
      <c r="A81" s="1" t="str">
        <f>HYPERLINK("[.\tse_pressure_data\1418.xlsx]1418!$A268","﻿東華            ")</f>
        <v xml:space="preserve">﻿東華            </v>
      </c>
      <c r="B81">
        <v>0.8928571428571429</v>
      </c>
      <c r="C81">
        <v>0.67889908256880738</v>
      </c>
      <c r="D81">
        <v>0.60550458715596334</v>
      </c>
      <c r="E81">
        <v>0.60544217687074831</v>
      </c>
      <c r="F81">
        <v>0.73076923076923073</v>
      </c>
      <c r="G81">
        <v>0.65116279069767447</v>
      </c>
      <c r="H81">
        <v>0.6292134831460674</v>
      </c>
      <c r="I81">
        <v>0.65909090909090906</v>
      </c>
      <c r="J81">
        <v>0.61111111111111116</v>
      </c>
      <c r="K81">
        <v>0.73885350318471332</v>
      </c>
    </row>
    <row r="82" spans="1:11" x14ac:dyDescent="0.3">
      <c r="A82" s="1" t="str">
        <f>HYPERLINK("[.\tse_pressure_data\1419.xlsx]1419!$A268","﻿新紡            ")</f>
        <v xml:space="preserve">﻿新紡            </v>
      </c>
      <c r="B82">
        <v>0.15824647943352693</v>
      </c>
      <c r="C82">
        <v>0.15660542432195976</v>
      </c>
      <c r="D82">
        <v>0.154300303175363</v>
      </c>
      <c r="E82">
        <v>0.15399952149294202</v>
      </c>
      <c r="F82">
        <v>9.9186540950268076E-2</v>
      </c>
      <c r="G82">
        <v>9.7977652599501336E-2</v>
      </c>
      <c r="H82">
        <v>0.67128712871287133</v>
      </c>
      <c r="I82">
        <v>0.76904176904176902</v>
      </c>
      <c r="J82">
        <v>0.77479892761394098</v>
      </c>
      <c r="K82">
        <v>0.60696517412935325</v>
      </c>
    </row>
    <row r="83" spans="1:11" x14ac:dyDescent="0.3">
      <c r="A83" s="1" t="str">
        <f>HYPERLINK("[.\tse_pressure_data\1423.xlsx]1423!$A268","﻿利華            ")</f>
        <v xml:space="preserve">﻿利華            </v>
      </c>
      <c r="B83">
        <v>0.97656078860898143</v>
      </c>
      <c r="C83">
        <v>0.96912599318955728</v>
      </c>
      <c r="D83">
        <v>0.981957600360848</v>
      </c>
      <c r="E83">
        <v>0.94677384314577451</v>
      </c>
      <c r="F83">
        <v>1.055456570155902</v>
      </c>
      <c r="G83">
        <v>0.98648943124863808</v>
      </c>
      <c r="H83">
        <v>1.0555062166962699</v>
      </c>
      <c r="I83">
        <v>1.0384961728950923</v>
      </c>
      <c r="J83">
        <v>1.0394996708360764</v>
      </c>
      <c r="K83">
        <v>0.98639754278192193</v>
      </c>
    </row>
    <row r="84" spans="1:11" x14ac:dyDescent="0.3">
      <c r="A84" s="1" t="str">
        <f>HYPERLINK("[.\tse_pressure_data\1432.xlsx]1432!$A268","﻿大魯閣          ")</f>
        <v xml:space="preserve">﻿大魯閣          </v>
      </c>
      <c r="B84">
        <v>0.97964071856287427</v>
      </c>
      <c r="C84">
        <v>0.99154589371980673</v>
      </c>
      <c r="D84">
        <v>0.83401639344262291</v>
      </c>
      <c r="E84">
        <v>0.83118172790466738</v>
      </c>
      <c r="F84">
        <v>0.817244611059044</v>
      </c>
      <c r="G84">
        <v>0.82514177693761814</v>
      </c>
      <c r="H84">
        <v>0.81940700808625333</v>
      </c>
      <c r="I84">
        <v>0.90398126463700235</v>
      </c>
      <c r="J84">
        <v>0.43478260869565216</v>
      </c>
      <c r="K84">
        <v>0.42142559399749896</v>
      </c>
    </row>
    <row r="85" spans="1:11" x14ac:dyDescent="0.3">
      <c r="A85" s="1" t="str">
        <f>HYPERLINK("[.\tse_pressure_data\1434.xlsx]1434!$A268","﻿福懋            ")</f>
        <v xml:space="preserve">﻿福懋            </v>
      </c>
      <c r="B85">
        <v>0.68110550093010891</v>
      </c>
      <c r="C85">
        <v>0.6056111205289032</v>
      </c>
      <c r="D85">
        <v>0.58722441109900247</v>
      </c>
      <c r="E85">
        <v>0.52358743023166909</v>
      </c>
      <c r="F85">
        <v>0.52657502021612879</v>
      </c>
      <c r="G85">
        <v>0.53411261364504548</v>
      </c>
      <c r="H85">
        <v>0.53005169354216497</v>
      </c>
      <c r="I85">
        <v>0.55233711610189673</v>
      </c>
      <c r="J85">
        <v>0.5126504165381055</v>
      </c>
      <c r="K85">
        <v>0.58918630366811564</v>
      </c>
    </row>
    <row r="86" spans="1:11" x14ac:dyDescent="0.3">
      <c r="A86" s="1" t="str">
        <f>HYPERLINK("[.\tse_pressure_data\1435.xlsx]1435!$A268","﻿中福            ")</f>
        <v xml:space="preserve">﻿中福            </v>
      </c>
      <c r="B86">
        <v>1.1304801670146138</v>
      </c>
      <c r="C86">
        <v>0.87778631821675634</v>
      </c>
      <c r="D86">
        <v>0.78330995792426372</v>
      </c>
      <c r="E86">
        <v>0.75905292479108633</v>
      </c>
      <c r="F86">
        <v>0.78129298486932597</v>
      </c>
      <c r="G86">
        <v>0.7470790378006873</v>
      </c>
      <c r="H86">
        <v>0.75334742776603236</v>
      </c>
      <c r="I86">
        <v>0.72912127814088601</v>
      </c>
      <c r="J86">
        <v>0.71729323308270676</v>
      </c>
      <c r="K86">
        <v>0.78325123152709364</v>
      </c>
    </row>
    <row r="87" spans="1:11" x14ac:dyDescent="0.3">
      <c r="A87" s="1" t="str">
        <f>HYPERLINK("[.\tse_pressure_data\1436.xlsx]1436!$A268","﻿華友聯          ")</f>
        <v xml:space="preserve">﻿華友聯          </v>
      </c>
      <c r="B87">
        <v>0.95683453237410077</v>
      </c>
      <c r="C87">
        <v>0.97491039426523296</v>
      </c>
      <c r="D87">
        <v>0.97879858657243812</v>
      </c>
      <c r="E87">
        <v>1.0291970802919708</v>
      </c>
      <c r="F87">
        <v>1.0150943396226415</v>
      </c>
      <c r="G87">
        <v>1.0493827160493827</v>
      </c>
      <c r="H87">
        <v>1.0042918454935623</v>
      </c>
      <c r="I87">
        <v>1.3225806451612903</v>
      </c>
      <c r="J87">
        <v>1.2331288343558282</v>
      </c>
      <c r="K87">
        <v>1.0726256983240223</v>
      </c>
    </row>
    <row r="88" spans="1:11" x14ac:dyDescent="0.3">
      <c r="A88" s="1" t="str">
        <f>HYPERLINK("[.\tse_pressure_data\1437.xlsx]1437!$A268","﻿勤益控          ")</f>
        <v xml:space="preserve">﻿勤益控          </v>
      </c>
      <c r="B88">
        <v>1.144906743185079</v>
      </c>
      <c r="C88">
        <v>1.2230014025245441</v>
      </c>
      <c r="D88">
        <v>1.0845959595959596</v>
      </c>
      <c r="E88">
        <v>0.97167138810198306</v>
      </c>
      <c r="F88">
        <v>0.98091382301908614</v>
      </c>
      <c r="G88">
        <v>0.96091015169194871</v>
      </c>
      <c r="H88">
        <v>0.9523248969982343</v>
      </c>
      <c r="I88">
        <v>0.94673847995212446</v>
      </c>
      <c r="J88">
        <v>0.93685488767455982</v>
      </c>
      <c r="K88">
        <v>0.87309334960341667</v>
      </c>
    </row>
    <row r="89" spans="1:11" x14ac:dyDescent="0.3">
      <c r="A89" s="1" t="str">
        <f>HYPERLINK("[.\tse_pressure_data\1438.xlsx]1438!$A268","﻿裕豐            ")</f>
        <v xml:space="preserve">﻿裕豐            </v>
      </c>
      <c r="B89">
        <v>0.81877022653721687</v>
      </c>
      <c r="C89">
        <v>0.81612903225806455</v>
      </c>
      <c r="D89">
        <v>0.84254143646408841</v>
      </c>
      <c r="E89">
        <v>0.84239130434782605</v>
      </c>
      <c r="F89">
        <v>2.2228412256267411</v>
      </c>
      <c r="G89">
        <v>2.4317460317460315</v>
      </c>
      <c r="H89">
        <v>2.284431137724551</v>
      </c>
      <c r="I89">
        <v>2.3474320241691844</v>
      </c>
      <c r="J89">
        <v>2.2011331444759206</v>
      </c>
      <c r="K89">
        <v>2.4983922829581995</v>
      </c>
    </row>
    <row r="90" spans="1:11" x14ac:dyDescent="0.3">
      <c r="A90" s="1" t="str">
        <f>HYPERLINK("[.\tse_pressure_data\1439.xlsx]1439!$A268","﻿中和            ")</f>
        <v xml:space="preserve">﻿中和            </v>
      </c>
      <c r="B90">
        <v>1.4525139664804469</v>
      </c>
      <c r="C90">
        <v>1.3932291666666667</v>
      </c>
      <c r="D90">
        <v>1.3984575835475579</v>
      </c>
      <c r="E90">
        <v>1.2433371958285051</v>
      </c>
      <c r="F90">
        <v>1.2103559870550162</v>
      </c>
      <c r="G90">
        <v>1.1093439363817097</v>
      </c>
      <c r="H90">
        <v>1.0846812559467174</v>
      </c>
      <c r="I90">
        <v>1.1952277657266812</v>
      </c>
      <c r="J90">
        <v>1.175531914893617</v>
      </c>
      <c r="K90">
        <v>1.1733615221987315</v>
      </c>
    </row>
    <row r="91" spans="1:11" x14ac:dyDescent="0.3">
      <c r="A91" s="1" t="str">
        <f>HYPERLINK("[.\tse_pressure_data\1440.xlsx]1440!$A268","﻿南紡            ")</f>
        <v xml:space="preserve">﻿南紡            </v>
      </c>
      <c r="B91">
        <v>0.91002223287850381</v>
      </c>
      <c r="C91">
        <v>0.90338439928010184</v>
      </c>
      <c r="D91">
        <v>0.82189661839900319</v>
      </c>
      <c r="E91">
        <v>0.8303688924735747</v>
      </c>
      <c r="F91">
        <v>0.83972940776038119</v>
      </c>
      <c r="G91">
        <v>0.83357312119160465</v>
      </c>
      <c r="H91">
        <v>0.88976063829787233</v>
      </c>
      <c r="I91">
        <v>0.86190412366528169</v>
      </c>
      <c r="J91">
        <v>0.7322583426748297</v>
      </c>
      <c r="K91">
        <v>0.70069412000266973</v>
      </c>
    </row>
    <row r="92" spans="1:11" x14ac:dyDescent="0.3">
      <c r="A92" s="1" t="str">
        <f>HYPERLINK("[.\tse_pressure_data\1441.xlsx]1441!$A268","﻿大東            ")</f>
        <v xml:space="preserve">﻿大東            </v>
      </c>
      <c r="B92">
        <v>0.9512453630100689</v>
      </c>
      <c r="C92">
        <v>0.77958792525155729</v>
      </c>
      <c r="D92">
        <v>0.73058252427184467</v>
      </c>
      <c r="E92">
        <v>0.69090909090909092</v>
      </c>
      <c r="F92">
        <v>0.6579739217652959</v>
      </c>
      <c r="G92">
        <v>0.65</v>
      </c>
      <c r="H92">
        <v>0.59412690089145259</v>
      </c>
      <c r="I92">
        <v>0.58192389006342493</v>
      </c>
      <c r="J92">
        <v>0.56655844155844159</v>
      </c>
      <c r="K92">
        <v>0.49708963911525028</v>
      </c>
    </row>
    <row r="93" spans="1:11" x14ac:dyDescent="0.3">
      <c r="A93" s="1" t="str">
        <f>HYPERLINK("[.\tse_pressure_data\1442.xlsx]1442!$A268","﻿名軒            ")</f>
        <v xml:space="preserve">﻿名軒            </v>
      </c>
      <c r="B93">
        <v>1.1097364174287252</v>
      </c>
      <c r="C93">
        <v>1.0799584631360333</v>
      </c>
      <c r="D93">
        <v>1.0782442748091603</v>
      </c>
      <c r="E93">
        <v>0.97057512260365586</v>
      </c>
      <c r="F93">
        <v>0.95892226148409898</v>
      </c>
      <c r="G93">
        <v>0.98687089715536103</v>
      </c>
      <c r="H93">
        <v>0.94127806563039729</v>
      </c>
      <c r="I93">
        <v>0.97361591695501726</v>
      </c>
      <c r="J93">
        <v>0.89877049180327873</v>
      </c>
      <c r="K93">
        <v>0.8162650602409639</v>
      </c>
    </row>
    <row r="94" spans="1:11" x14ac:dyDescent="0.3">
      <c r="A94" s="1" t="str">
        <f>HYPERLINK("[.\tse_pressure_data\1443.xlsx]1443!$A268","﻿立益            ")</f>
        <v xml:space="preserve">﻿立益            </v>
      </c>
      <c r="B94">
        <v>0.5533498759305211</v>
      </c>
      <c r="C94">
        <v>0.55773955773955775</v>
      </c>
      <c r="D94">
        <v>0.36649214659685864</v>
      </c>
      <c r="E94">
        <v>0.5757575757575758</v>
      </c>
      <c r="F94">
        <v>0.58813559322033904</v>
      </c>
      <c r="G94">
        <v>0.61629881154499155</v>
      </c>
      <c r="H94">
        <v>0.62709030100334451</v>
      </c>
      <c r="I94">
        <v>0.6295025728987993</v>
      </c>
      <c r="J94">
        <v>0.68840579710144922</v>
      </c>
      <c r="K94">
        <v>0.68555758683729429</v>
      </c>
    </row>
    <row r="95" spans="1:11" x14ac:dyDescent="0.3">
      <c r="A95" s="1" t="str">
        <f>HYPERLINK("[.\tse_pressure_data\1444.xlsx]1444!$A268","﻿力麗            ")</f>
        <v xml:space="preserve">﻿力麗            </v>
      </c>
      <c r="B95">
        <v>0.87763365166879981</v>
      </c>
      <c r="C95">
        <v>0.86074624415072654</v>
      </c>
      <c r="D95">
        <v>0.8590437058274436</v>
      </c>
      <c r="E95">
        <v>0.77841471461563838</v>
      </c>
      <c r="F95">
        <v>0.72849619416438538</v>
      </c>
      <c r="G95">
        <v>0.70811900692860086</v>
      </c>
      <c r="H95">
        <v>0.76424743178857502</v>
      </c>
      <c r="I95">
        <v>0.75788987041712175</v>
      </c>
      <c r="J95">
        <v>0.73871529360290233</v>
      </c>
      <c r="K95">
        <v>0.7252044227779485</v>
      </c>
    </row>
    <row r="96" spans="1:11" x14ac:dyDescent="0.3">
      <c r="A96" s="1" t="str">
        <f>HYPERLINK("[.\tse_pressure_data\1445.xlsx]1445!$A268","﻿大宇            ")</f>
        <v xml:space="preserve">﻿大宇            </v>
      </c>
      <c r="B96">
        <v>0.9213391399020141</v>
      </c>
      <c r="C96">
        <v>0.90488075429839154</v>
      </c>
      <c r="D96">
        <v>0.89784211963944283</v>
      </c>
      <c r="E96">
        <v>0.91361679224973091</v>
      </c>
      <c r="F96">
        <v>0.9186918691869187</v>
      </c>
      <c r="G96">
        <v>0.91035793474817861</v>
      </c>
      <c r="H96">
        <v>1.0292259083728279</v>
      </c>
      <c r="I96">
        <v>0.92207346378304156</v>
      </c>
      <c r="J96">
        <v>0.83676417479234377</v>
      </c>
      <c r="K96">
        <v>0.95949720670391059</v>
      </c>
    </row>
    <row r="97" spans="1:11" x14ac:dyDescent="0.3">
      <c r="A97" s="1" t="str">
        <f>HYPERLINK("[.\tse_pressure_data\1446.xlsx]1446!$A268","﻿宏和            ")</f>
        <v xml:space="preserve">﻿宏和            </v>
      </c>
      <c r="B97">
        <v>1.4734411085450347</v>
      </c>
      <c r="C97">
        <v>1.6045340050377834</v>
      </c>
      <c r="D97">
        <v>1.4661654135338347</v>
      </c>
      <c r="E97">
        <v>1.4734042553191489</v>
      </c>
      <c r="F97">
        <v>1.5619834710743801</v>
      </c>
      <c r="G97">
        <v>1.5040431266846361</v>
      </c>
      <c r="H97">
        <v>1.536986301369863</v>
      </c>
      <c r="I97">
        <v>1.5134408602150538</v>
      </c>
      <c r="J97">
        <v>1.2453825857519789</v>
      </c>
      <c r="K97">
        <v>1.0053191489361701</v>
      </c>
    </row>
    <row r="98" spans="1:11" x14ac:dyDescent="0.3">
      <c r="A98" s="1" t="str">
        <f>HYPERLINK("[.\tse_pressure_data\1447.xlsx]1447!$A268","﻿力鵬            ")</f>
        <v xml:space="preserve">﻿力鵬            </v>
      </c>
      <c r="B98">
        <v>1.2624028690974298</v>
      </c>
      <c r="C98">
        <v>1.303950518754988</v>
      </c>
      <c r="D98">
        <v>1.3582736079388833</v>
      </c>
      <c r="E98">
        <v>1.1679463820926601</v>
      </c>
      <c r="F98">
        <v>1.0518092566619917</v>
      </c>
      <c r="G98">
        <v>1.0549784055095133</v>
      </c>
      <c r="H98">
        <v>1.0735137375651349</v>
      </c>
      <c r="I98">
        <v>1.0947070171208102</v>
      </c>
      <c r="J98">
        <v>1.0093628088426527</v>
      </c>
      <c r="K98">
        <v>0.93580056099376041</v>
      </c>
    </row>
    <row r="99" spans="1:11" x14ac:dyDescent="0.3">
      <c r="A99" s="1" t="str">
        <f>HYPERLINK("[.\tse_pressure_data\1449.xlsx]1449!$A268","﻿佳和            ")</f>
        <v xml:space="preserve">﻿佳和            </v>
      </c>
      <c r="B99">
        <v>1.0662983425414365</v>
      </c>
      <c r="C99">
        <v>1.05119825708061</v>
      </c>
      <c r="D99">
        <v>1.0627705627705628</v>
      </c>
      <c r="E99">
        <v>1.054585152838428</v>
      </c>
      <c r="F99">
        <v>1.0624263839811543</v>
      </c>
      <c r="G99">
        <v>1.0318627450980393</v>
      </c>
      <c r="H99">
        <v>1.0380368098159509</v>
      </c>
      <c r="I99">
        <v>1.0300375469336671</v>
      </c>
      <c r="J99">
        <v>1.0375647668393781</v>
      </c>
      <c r="K99">
        <v>0.99485199485199483</v>
      </c>
    </row>
    <row r="100" spans="1:11" x14ac:dyDescent="0.3">
      <c r="A100" s="1" t="str">
        <f>HYPERLINK("[.\tse_pressure_data\1451.xlsx]1451!$A268","﻿年興            ")</f>
        <v xml:space="preserve">﻿年興            </v>
      </c>
      <c r="B100">
        <v>2.6357586512866016</v>
      </c>
      <c r="C100">
        <v>2.9617083946980856</v>
      </c>
      <c r="D100">
        <v>3.4132799084144247</v>
      </c>
      <c r="E100">
        <v>3.9716790289952799</v>
      </c>
      <c r="F100">
        <v>3.5624169986719787</v>
      </c>
      <c r="G100">
        <v>3.1628197130380538</v>
      </c>
      <c r="H100">
        <v>2.9247842170160294</v>
      </c>
      <c r="I100">
        <v>2.9613559322033898</v>
      </c>
      <c r="J100">
        <v>2.764198418404026</v>
      </c>
      <c r="K100">
        <v>2.829108748977923</v>
      </c>
    </row>
    <row r="101" spans="1:11" x14ac:dyDescent="0.3">
      <c r="A101" s="1" t="str">
        <f>HYPERLINK("[.\tse_pressure_data\1452.xlsx]1452!$A268","﻿宏益            ")</f>
        <v xml:space="preserve">﻿宏益            </v>
      </c>
      <c r="B101">
        <v>1.2328174783796086</v>
      </c>
      <c r="C101">
        <v>1.2158620689655173</v>
      </c>
      <c r="D101">
        <v>1.1335504885993486</v>
      </c>
      <c r="E101">
        <v>1.1645135475020008</v>
      </c>
      <c r="F101">
        <v>1.1751756440281032</v>
      </c>
      <c r="G101">
        <v>1.113763276031972</v>
      </c>
      <c r="H101">
        <v>1.1463442069741283</v>
      </c>
      <c r="I101">
        <v>1.1492232679442114</v>
      </c>
      <c r="J101">
        <v>1.1520305449496702</v>
      </c>
      <c r="K101">
        <v>1.0635812177038868</v>
      </c>
    </row>
    <row r="102" spans="1:11" x14ac:dyDescent="0.3">
      <c r="A102" s="1" t="str">
        <f>HYPERLINK("[.\tse_pressure_data\1453.xlsx]1453!$A268","﻿大將            ")</f>
        <v xml:space="preserve">﻿大將            </v>
      </c>
      <c r="B102">
        <v>1.383008356545961</v>
      </c>
      <c r="C102">
        <v>1.2090501121914734</v>
      </c>
      <c r="D102">
        <v>1.254566210045662</v>
      </c>
      <c r="E102">
        <v>1.2498132935026138</v>
      </c>
      <c r="F102">
        <v>1.2469901495804452</v>
      </c>
      <c r="G102">
        <v>1.2045303131245837</v>
      </c>
      <c r="H102">
        <v>1.2120211360634081</v>
      </c>
      <c r="I102">
        <v>1.2174466730340656</v>
      </c>
      <c r="J102">
        <v>1.2172591917350351</v>
      </c>
      <c r="K102">
        <v>1.1591350152481286</v>
      </c>
    </row>
    <row r="103" spans="1:11" x14ac:dyDescent="0.3">
      <c r="A103" s="1" t="str">
        <f>HYPERLINK("[.\tse_pressure_data\1454.xlsx]1454!$A268","﻿台富            ")</f>
        <v xml:space="preserve">﻿台富            </v>
      </c>
      <c r="B103">
        <v>1.0521945432977462</v>
      </c>
      <c r="C103">
        <v>1.0756200846944948</v>
      </c>
      <c r="D103">
        <v>1.030722891566265</v>
      </c>
      <c r="E103">
        <v>1.1018573996405032</v>
      </c>
      <c r="F103">
        <v>1.0549320732427643</v>
      </c>
      <c r="G103">
        <v>1.0057971014492753</v>
      </c>
      <c r="H103">
        <v>1.0155502392344498</v>
      </c>
      <c r="I103">
        <v>0.99689054726368154</v>
      </c>
      <c r="J103">
        <v>0.99873176918199114</v>
      </c>
      <c r="K103">
        <v>0.97171590194846014</v>
      </c>
    </row>
    <row r="104" spans="1:11" x14ac:dyDescent="0.3">
      <c r="A104" s="1" t="str">
        <f>HYPERLINK("[.\tse_pressure_data\1455.xlsx]1455!$A268","﻿集盛            ")</f>
        <v xml:space="preserve">﻿集盛            </v>
      </c>
      <c r="B104">
        <v>1.3768652046336343</v>
      </c>
      <c r="C104">
        <v>1.4646142712001224</v>
      </c>
      <c r="D104">
        <v>1.4733097044593884</v>
      </c>
      <c r="E104">
        <v>1.4981908757210278</v>
      </c>
      <c r="F104">
        <v>1.3768350725091056</v>
      </c>
      <c r="G104">
        <v>1.1822569828180642</v>
      </c>
      <c r="H104">
        <v>1.2365308299141933</v>
      </c>
      <c r="I104">
        <v>1.2405697679958076</v>
      </c>
      <c r="J104">
        <v>1.3519160783344895</v>
      </c>
      <c r="K104">
        <v>1.0635372360992963</v>
      </c>
    </row>
    <row r="105" spans="1:11" x14ac:dyDescent="0.3">
      <c r="A105" s="1" t="str">
        <f>HYPERLINK("[.\tse_pressure_data\1456.xlsx]1456!$A268","﻿怡華            ")</f>
        <v xml:space="preserve">﻿怡華            </v>
      </c>
      <c r="B105">
        <v>1.4224137931034482</v>
      </c>
      <c r="C105">
        <v>1.4406196213425129</v>
      </c>
      <c r="D105">
        <v>1.4165261382799326</v>
      </c>
      <c r="E105">
        <v>1.4072847682119205</v>
      </c>
      <c r="F105">
        <v>1.4042904290429044</v>
      </c>
      <c r="G105">
        <v>1.414075286415712</v>
      </c>
      <c r="H105">
        <v>1.4616822429906542</v>
      </c>
      <c r="I105">
        <v>1.3810408921933086</v>
      </c>
      <c r="J105">
        <v>1.3426443202979517</v>
      </c>
      <c r="K105">
        <v>1.3129629629629629</v>
      </c>
    </row>
    <row r="106" spans="1:11" x14ac:dyDescent="0.3">
      <c r="A106" s="1" t="str">
        <f>HYPERLINK("[.\tse_pressure_data\1457.xlsx]1457!$A268","﻿宜進            ")</f>
        <v xml:space="preserve">﻿宜進            </v>
      </c>
      <c r="B106">
        <v>1.3525302251502207</v>
      </c>
      <c r="C106">
        <v>1.2762818528835242</v>
      </c>
      <c r="D106">
        <v>1.241369067265166</v>
      </c>
      <c r="E106">
        <v>1.2390147783251231</v>
      </c>
      <c r="F106">
        <v>1.2042217700915565</v>
      </c>
      <c r="G106">
        <v>1.1836444993056627</v>
      </c>
      <c r="H106">
        <v>1.3035355438332077</v>
      </c>
      <c r="I106">
        <v>1.3628946545795562</v>
      </c>
      <c r="J106">
        <v>1.2143731935531279</v>
      </c>
      <c r="K106">
        <v>1.2593843843843844</v>
      </c>
    </row>
    <row r="107" spans="1:11" x14ac:dyDescent="0.3">
      <c r="A107" s="1" t="str">
        <f>HYPERLINK("[.\tse_pressure_data\1459.xlsx]1459!$A268","﻿聯發            ")</f>
        <v xml:space="preserve">﻿聯發            </v>
      </c>
      <c r="B107">
        <v>1.3031253770966573</v>
      </c>
      <c r="C107">
        <v>1.3075543868037294</v>
      </c>
      <c r="D107">
        <v>1.3524127605666245</v>
      </c>
      <c r="E107">
        <v>1.2806332453825857</v>
      </c>
      <c r="F107">
        <v>1.1738971261211788</v>
      </c>
      <c r="G107">
        <v>0.93198768388641806</v>
      </c>
      <c r="H107">
        <v>0.9874260857744851</v>
      </c>
      <c r="I107">
        <v>0.93401046859421732</v>
      </c>
      <c r="J107">
        <v>0.89905987135081644</v>
      </c>
      <c r="K107">
        <v>0.86523354241520001</v>
      </c>
    </row>
    <row r="108" spans="1:11" x14ac:dyDescent="0.3">
      <c r="A108" s="1" t="str">
        <f>HYPERLINK("[.\tse_pressure_data\1460.xlsx]1460!$A268","﻿宏遠            ")</f>
        <v xml:space="preserve">﻿宏遠            </v>
      </c>
      <c r="B108">
        <v>0.77518065839950046</v>
      </c>
      <c r="C108">
        <v>0.70861284601742613</v>
      </c>
      <c r="D108">
        <v>0.69971163588184859</v>
      </c>
      <c r="E108">
        <v>0.65983387944829686</v>
      </c>
      <c r="F108">
        <v>0.66372767001456723</v>
      </c>
      <c r="G108">
        <v>0.66520535302261186</v>
      </c>
      <c r="H108">
        <v>0.67420151211232837</v>
      </c>
      <c r="I108">
        <v>0.63744961524367905</v>
      </c>
      <c r="J108">
        <v>0.78945253641386237</v>
      </c>
      <c r="K108">
        <v>0.78178329799050794</v>
      </c>
    </row>
    <row r="109" spans="1:11" x14ac:dyDescent="0.3">
      <c r="A109" s="1" t="str">
        <f>HYPERLINK("[.\tse_pressure_data\1463.xlsx]1463!$A268","﻿強盛            ")</f>
        <v xml:space="preserve">﻿強盛            </v>
      </c>
      <c r="B109">
        <v>1.1174377224199288</v>
      </c>
      <c r="C109">
        <v>1.1589012963676038</v>
      </c>
      <c r="D109">
        <v>1.1355110373867552</v>
      </c>
      <c r="E109">
        <v>1.1076865014467228</v>
      </c>
      <c r="F109">
        <v>1.0835599505562423</v>
      </c>
      <c r="G109">
        <v>1.0778229282108114</v>
      </c>
      <c r="H109">
        <v>1.0776687116564416</v>
      </c>
      <c r="I109">
        <v>1.0726913091853134</v>
      </c>
      <c r="J109">
        <v>1.1182992043824183</v>
      </c>
      <c r="K109">
        <v>1.0806677711227222</v>
      </c>
    </row>
    <row r="110" spans="1:11" x14ac:dyDescent="0.3">
      <c r="A110" s="1" t="str">
        <f>HYPERLINK("[.\tse_pressure_data\1464.xlsx]1464!$A268","﻿得力            ")</f>
        <v xml:space="preserve">﻿得力            </v>
      </c>
      <c r="B110">
        <v>1.0018545994065282</v>
      </c>
      <c r="C110">
        <v>1.0192548137034259</v>
      </c>
      <c r="D110">
        <v>0.93837051645507208</v>
      </c>
      <c r="E110">
        <v>0.91230222004170247</v>
      </c>
      <c r="F110">
        <v>0.86709645425241755</v>
      </c>
      <c r="G110">
        <v>1.0295868663178784</v>
      </c>
      <c r="H110">
        <v>1.1533964926426123</v>
      </c>
      <c r="I110">
        <v>1.0099746407438714</v>
      </c>
      <c r="J110">
        <v>1.0618101545253864</v>
      </c>
      <c r="K110">
        <v>1.0385123654899</v>
      </c>
    </row>
    <row r="111" spans="1:11" x14ac:dyDescent="0.3">
      <c r="A111" s="1" t="str">
        <f>HYPERLINK("[.\tse_pressure_data\1465.xlsx]1465!$A268","﻿偉全            ")</f>
        <v xml:space="preserve">﻿偉全            </v>
      </c>
      <c r="B111">
        <v>0.72516556291390732</v>
      </c>
      <c r="C111">
        <v>0.72245663384903891</v>
      </c>
      <c r="D111">
        <v>0.70398126463700239</v>
      </c>
      <c r="E111">
        <v>0.67986798679867988</v>
      </c>
      <c r="F111">
        <v>0.65308924485125863</v>
      </c>
      <c r="G111">
        <v>0.64478417266187049</v>
      </c>
      <c r="H111">
        <v>0.70805369127516782</v>
      </c>
      <c r="I111">
        <v>0.69964664310954061</v>
      </c>
      <c r="J111">
        <v>0.65979988228369624</v>
      </c>
      <c r="K111">
        <v>0.65506898620275944</v>
      </c>
    </row>
    <row r="112" spans="1:11" x14ac:dyDescent="0.3">
      <c r="A112" s="1" t="str">
        <f>HYPERLINK("[.\tse_pressure_data\1466.xlsx]1466!$A268","﻿聚隆            ")</f>
        <v xml:space="preserve">﻿聚隆            </v>
      </c>
      <c r="B112">
        <v>0.8091787439613527</v>
      </c>
      <c r="C112">
        <v>0.79247572815533984</v>
      </c>
      <c r="D112">
        <v>0.78746928746928746</v>
      </c>
      <c r="E112">
        <v>0.74013921113689096</v>
      </c>
      <c r="F112">
        <v>0.72273781902552203</v>
      </c>
      <c r="G112">
        <v>0.73193473193473191</v>
      </c>
      <c r="H112">
        <v>0.75886524822695034</v>
      </c>
      <c r="I112">
        <v>0.90252707581227432</v>
      </c>
      <c r="J112">
        <v>0.80434782608695654</v>
      </c>
      <c r="K112">
        <v>0.79314565483476129</v>
      </c>
    </row>
    <row r="113" spans="1:11" x14ac:dyDescent="0.3">
      <c r="A113" s="1" t="str">
        <f>HYPERLINK("[.\tse_pressure_data\1467.xlsx]1467!$A268","﻿南緯            ")</f>
        <v xml:space="preserve">﻿南緯            </v>
      </c>
      <c r="B113">
        <v>0.95486840341391488</v>
      </c>
      <c r="C113">
        <v>0.86033431038580366</v>
      </c>
      <c r="D113">
        <v>0.82761732851985559</v>
      </c>
      <c r="E113">
        <v>0.72698810269254854</v>
      </c>
      <c r="F113">
        <v>0.82772496130886575</v>
      </c>
      <c r="G113">
        <v>0.83393193858310133</v>
      </c>
      <c r="H113">
        <v>0.83480825958702065</v>
      </c>
      <c r="I113">
        <v>0.76372109859282389</v>
      </c>
      <c r="J113">
        <v>0.76257696350803428</v>
      </c>
      <c r="K113">
        <v>0.74461103538795492</v>
      </c>
    </row>
    <row r="114" spans="1:11" x14ac:dyDescent="0.3">
      <c r="A114" s="1" t="str">
        <f>HYPERLINK("[.\tse_pressure_data\1468.xlsx]1468!$A268","﻿昶和            ")</f>
        <v xml:space="preserve">﻿昶和            </v>
      </c>
      <c r="B114">
        <v>1.1713147410358566</v>
      </c>
      <c r="C114">
        <v>1.196078431372549</v>
      </c>
      <c r="D114">
        <v>1.1245283018867924</v>
      </c>
      <c r="E114">
        <v>1.1515151515151516</v>
      </c>
      <c r="F114">
        <v>1.0625</v>
      </c>
      <c r="G114">
        <v>1.1976744186046511</v>
      </c>
      <c r="H114">
        <v>1.1484375</v>
      </c>
      <c r="I114">
        <v>1.2088353413654618</v>
      </c>
      <c r="J114">
        <v>1.2272727272727273</v>
      </c>
      <c r="K114">
        <v>1.0333333333333334</v>
      </c>
    </row>
    <row r="115" spans="1:11" x14ac:dyDescent="0.3">
      <c r="A115" s="1" t="str">
        <f>HYPERLINK("[.\tse_pressure_data\1469.xlsx]1469!$A268","﻿理隆            ")</f>
        <v xml:space="preserve">﻿理隆            </v>
      </c>
      <c r="B115">
        <v>0.70588235294117652</v>
      </c>
      <c r="C115">
        <v>0.72222222222222221</v>
      </c>
      <c r="D115">
        <v>0.71698113207547165</v>
      </c>
      <c r="E115">
        <v>0.71186440677966101</v>
      </c>
      <c r="F115">
        <v>0.64516129032258063</v>
      </c>
      <c r="G115">
        <v>0.62903225806451613</v>
      </c>
      <c r="H115">
        <v>0.58730158730158732</v>
      </c>
      <c r="I115">
        <v>0.59375</v>
      </c>
      <c r="J115">
        <v>0.609375</v>
      </c>
      <c r="K115">
        <v>0.56521739130434778</v>
      </c>
    </row>
    <row r="116" spans="1:11" x14ac:dyDescent="0.3">
      <c r="A116" s="1" t="str">
        <f>HYPERLINK("[.\tse_pressure_data\1470.xlsx]1470!$A268","﻿大統染          ")</f>
        <v xml:space="preserve">﻿大統染          </v>
      </c>
      <c r="B116">
        <v>1.9666666666666666</v>
      </c>
      <c r="C116">
        <v>2.125</v>
      </c>
      <c r="D116">
        <v>2</v>
      </c>
      <c r="E116">
        <v>1.975609756097561</v>
      </c>
      <c r="F116">
        <v>1.7720588235294117</v>
      </c>
      <c r="G116">
        <v>1.781021897810219</v>
      </c>
      <c r="H116">
        <v>2.9015151515151514</v>
      </c>
      <c r="I116">
        <v>2.5578231292517009</v>
      </c>
      <c r="J116">
        <v>2.9158878504672896</v>
      </c>
      <c r="K116">
        <v>2.3515625</v>
      </c>
    </row>
    <row r="117" spans="1:11" x14ac:dyDescent="0.3">
      <c r="A117" s="1" t="str">
        <f>HYPERLINK("[.\tse_pressure_data\1471.xlsx]1471!$A268","﻿首利            ")</f>
        <v xml:space="preserve">﻿首利            </v>
      </c>
      <c r="B117">
        <v>0.72449665934263041</v>
      </c>
      <c r="C117">
        <v>0.72382151853184595</v>
      </c>
      <c r="D117">
        <v>0.70314835787089469</v>
      </c>
      <c r="E117">
        <v>0.68464976286027002</v>
      </c>
      <c r="F117">
        <v>0.70414733453271472</v>
      </c>
      <c r="G117">
        <v>0.59654055084341939</v>
      </c>
      <c r="H117">
        <v>0.44978762135922329</v>
      </c>
      <c r="I117">
        <v>0.4237053447798394</v>
      </c>
      <c r="J117">
        <v>0.54835108210237027</v>
      </c>
      <c r="K117">
        <v>0.81652998874417104</v>
      </c>
    </row>
    <row r="118" spans="1:11" x14ac:dyDescent="0.3">
      <c r="A118" s="1" t="str">
        <f>HYPERLINK("[.\tse_pressure_data\1472.xlsx]1472!$A268","﻿三洋紡          ")</f>
        <v xml:space="preserve">﻿三洋紡          </v>
      </c>
      <c r="B118">
        <v>1.3863432165318958</v>
      </c>
      <c r="C118">
        <v>1.3985441310282074</v>
      </c>
      <c r="D118">
        <v>1.3697868396663577</v>
      </c>
      <c r="E118">
        <v>1.2428571428571429</v>
      </c>
      <c r="F118">
        <v>1.1936728395061729</v>
      </c>
      <c r="G118">
        <v>1.1649016641452345</v>
      </c>
      <c r="H118">
        <v>1.177713037144938</v>
      </c>
      <c r="I118">
        <v>1.1410541945063104</v>
      </c>
      <c r="J118">
        <v>1.6055045871559632</v>
      </c>
      <c r="K118">
        <v>1.5695296523517381</v>
      </c>
    </row>
    <row r="119" spans="1:11" x14ac:dyDescent="0.3">
      <c r="A119" s="1" t="str">
        <f>HYPERLINK("[.\tse_pressure_data\1473.xlsx]1473!$A268","﻿台南            ")</f>
        <v xml:space="preserve">﻿台南            </v>
      </c>
      <c r="B119">
        <v>1.3518518518518519</v>
      </c>
      <c r="C119">
        <v>1.2685393258426967</v>
      </c>
      <c r="D119">
        <v>0.93681550126368995</v>
      </c>
      <c r="E119">
        <v>0.87905138339920952</v>
      </c>
      <c r="F119">
        <v>0.83950617283950613</v>
      </c>
      <c r="G119">
        <v>0.90161290322580645</v>
      </c>
      <c r="H119">
        <v>1.0106732348111658</v>
      </c>
      <c r="I119">
        <v>0.9770679770679771</v>
      </c>
      <c r="J119">
        <v>0.87745483110761979</v>
      </c>
      <c r="K119">
        <v>0.81932443047918302</v>
      </c>
    </row>
    <row r="120" spans="1:11" x14ac:dyDescent="0.3">
      <c r="A120" s="1" t="str">
        <f>HYPERLINK("[.\tse_pressure_data\1474.xlsx]1474!$A268","﻿弘裕            ")</f>
        <v xml:space="preserve">﻿弘裕            </v>
      </c>
      <c r="B120">
        <v>0.94539939332659251</v>
      </c>
      <c r="C120">
        <v>0.89255372313843073</v>
      </c>
      <c r="D120">
        <v>0.9118236472945892</v>
      </c>
      <c r="E120">
        <v>0.95278069254984266</v>
      </c>
      <c r="F120">
        <v>1.0181360201511336</v>
      </c>
      <c r="G120">
        <v>0.99206349206349209</v>
      </c>
      <c r="H120">
        <v>1.0359944623904014</v>
      </c>
      <c r="I120">
        <v>0.96319018404907975</v>
      </c>
      <c r="J120">
        <v>0.90297274979355902</v>
      </c>
      <c r="K120">
        <v>0.95014662756598245</v>
      </c>
    </row>
    <row r="121" spans="1:11" x14ac:dyDescent="0.3">
      <c r="A121" s="1" t="str">
        <f>HYPERLINK("[.\tse_pressure_data\1475.xlsx]1475!$A268","﻿本盟            ")</f>
        <v xml:space="preserve">﻿本盟            </v>
      </c>
      <c r="B121">
        <v>3.93993993993994</v>
      </c>
      <c r="C121">
        <v>3.5517241379310347</v>
      </c>
      <c r="D121">
        <v>4.1205479452054794</v>
      </c>
      <c r="E121">
        <v>2.7568306010928962</v>
      </c>
      <c r="F121">
        <v>2.7716643741403026</v>
      </c>
      <c r="G121">
        <v>2.8167832167832167</v>
      </c>
      <c r="H121">
        <v>2.7623762376237622</v>
      </c>
      <c r="I121">
        <v>2.7944199706314246</v>
      </c>
      <c r="J121">
        <v>2.7432024169184288</v>
      </c>
      <c r="K121">
        <v>1.8444790046656299</v>
      </c>
    </row>
    <row r="122" spans="1:11" x14ac:dyDescent="0.3">
      <c r="A122" s="1" t="str">
        <f>HYPERLINK("[.\tse_pressure_data\1476.xlsx]1476!$A268","﻿儒鴻            ")</f>
        <v xml:space="preserve">﻿儒鴻            </v>
      </c>
      <c r="B122">
        <v>1.1887732797062167</v>
      </c>
      <c r="C122">
        <v>1.1332526788800552</v>
      </c>
      <c r="D122">
        <v>1.1494114614657616</v>
      </c>
      <c r="E122">
        <v>1.1094174837274451</v>
      </c>
      <c r="F122">
        <v>1.0147628444054666</v>
      </c>
      <c r="G122">
        <v>0.96773520617481401</v>
      </c>
      <c r="H122">
        <v>0.96502463054187193</v>
      </c>
      <c r="I122">
        <v>0.97275420972754212</v>
      </c>
      <c r="J122">
        <v>1.0108010801080107</v>
      </c>
      <c r="K122">
        <v>0.97244183419923202</v>
      </c>
    </row>
    <row r="123" spans="1:11" x14ac:dyDescent="0.3">
      <c r="A123" s="1" t="str">
        <f>HYPERLINK("[.\tse_pressure_data\1477.xlsx]1477!$A268","﻿聚陽            ")</f>
        <v xml:space="preserve">﻿聚陽            </v>
      </c>
      <c r="B123">
        <v>0.75349019607843137</v>
      </c>
      <c r="C123">
        <v>0.73624999999999996</v>
      </c>
      <c r="D123">
        <v>0.70685505783712443</v>
      </c>
      <c r="E123">
        <v>0.70614342443354361</v>
      </c>
      <c r="F123">
        <v>0.7137939316307742</v>
      </c>
      <c r="G123">
        <v>0.55530403559441111</v>
      </c>
      <c r="H123">
        <v>0.57502275924853097</v>
      </c>
      <c r="I123">
        <v>0.54115499502157316</v>
      </c>
      <c r="J123">
        <v>0.52615300645865548</v>
      </c>
      <c r="K123">
        <v>0.4408380053113013</v>
      </c>
    </row>
    <row r="124" spans="1:11" x14ac:dyDescent="0.3">
      <c r="A124" s="1" t="str">
        <f>HYPERLINK("[.\tse_pressure_data\1503.xlsx]1503!$A268","﻿士電            ")</f>
        <v xml:space="preserve">﻿士電            </v>
      </c>
      <c r="B124">
        <v>1.1155913978494623</v>
      </c>
      <c r="C124">
        <v>1.1088709677419355</v>
      </c>
      <c r="D124">
        <v>1.0918635170603674</v>
      </c>
      <c r="E124">
        <v>1.1538461538461537</v>
      </c>
      <c r="F124">
        <v>1.1266666666666667</v>
      </c>
      <c r="G124">
        <v>1.1908077994428969</v>
      </c>
      <c r="H124">
        <v>1.2020057306590257</v>
      </c>
      <c r="I124">
        <v>1.2332838038632987</v>
      </c>
      <c r="J124">
        <v>1.0681198910081744</v>
      </c>
      <c r="K124">
        <v>1.3214837712519321</v>
      </c>
    </row>
    <row r="125" spans="1:11" x14ac:dyDescent="0.3">
      <c r="A125" s="1" t="str">
        <f>HYPERLINK("[.\tse_pressure_data\1504.xlsx]1504!$A268","﻿東元            ")</f>
        <v xml:space="preserve">﻿東元            </v>
      </c>
      <c r="B125">
        <v>0.89443658436401807</v>
      </c>
      <c r="C125">
        <v>0.83546047194931594</v>
      </c>
      <c r="D125">
        <v>0.72794018287464524</v>
      </c>
      <c r="E125">
        <v>0.62851179964681325</v>
      </c>
      <c r="F125">
        <v>0.6034304361668259</v>
      </c>
      <c r="G125">
        <v>0.61994620671989076</v>
      </c>
      <c r="H125">
        <v>0.64729104274435068</v>
      </c>
      <c r="I125">
        <v>0.62670286971583722</v>
      </c>
      <c r="J125">
        <v>0.67026705643363227</v>
      </c>
      <c r="K125">
        <v>0.61462839166338967</v>
      </c>
    </row>
    <row r="126" spans="1:11" x14ac:dyDescent="0.3">
      <c r="A126" s="1" t="str">
        <f>HYPERLINK("[.\tse_pressure_data\1506.xlsx]1506!$A268","﻿正道            ")</f>
        <v xml:space="preserve">﻿正道            </v>
      </c>
      <c r="B126">
        <v>1.2975553857906799</v>
      </c>
      <c r="C126">
        <v>1.2626337144964959</v>
      </c>
      <c r="D126">
        <v>1.231159420289855</v>
      </c>
      <c r="E126">
        <v>1.2551203736974488</v>
      </c>
      <c r="F126">
        <v>1.322341608002964</v>
      </c>
      <c r="G126">
        <v>1.1267354930580278</v>
      </c>
      <c r="H126">
        <v>1.1559761654398879</v>
      </c>
      <c r="I126">
        <v>1.0486381322957199</v>
      </c>
      <c r="J126">
        <v>0.9606986899563319</v>
      </c>
      <c r="K126">
        <v>0.99329929802169747</v>
      </c>
    </row>
    <row r="127" spans="1:11" x14ac:dyDescent="0.3">
      <c r="A127" s="1" t="str">
        <f>HYPERLINK("[.\tse_pressure_data\1507.xlsx]1507!$A268","﻿永大            ")</f>
        <v xml:space="preserve">﻿永大            </v>
      </c>
      <c r="B127">
        <v>0.5501292944218692</v>
      </c>
      <c r="C127">
        <v>0.52613489904052702</v>
      </c>
      <c r="D127">
        <v>0.59207550113095697</v>
      </c>
      <c r="E127">
        <v>0.48598633187437612</v>
      </c>
      <c r="F127">
        <v>0.50036264001934083</v>
      </c>
      <c r="G127">
        <v>0.56588534808181901</v>
      </c>
      <c r="H127">
        <v>0.66207328531161913</v>
      </c>
      <c r="I127">
        <v>0.62693429019959634</v>
      </c>
      <c r="J127">
        <v>0.65171663442940042</v>
      </c>
      <c r="K127">
        <v>0.60188162438966297</v>
      </c>
    </row>
    <row r="128" spans="1:11" x14ac:dyDescent="0.3">
      <c r="A128" s="1" t="str">
        <f>HYPERLINK("[.\tse_pressure_data\1512.xlsx]1512!$A268","﻿瑞利            ")</f>
        <v xml:space="preserve">﻿瑞利            </v>
      </c>
      <c r="B128">
        <v>1.5839576906126047</v>
      </c>
      <c r="C128">
        <v>1.8897459165154264</v>
      </c>
      <c r="D128">
        <v>1.9900497512437811</v>
      </c>
      <c r="E128">
        <v>1.8970588235294117</v>
      </c>
      <c r="F128">
        <v>1.8544731610337972</v>
      </c>
      <c r="G128">
        <v>1.7148698884758364</v>
      </c>
      <c r="H128">
        <v>1.722457627118644</v>
      </c>
      <c r="I128">
        <v>1.7470930232558139</v>
      </c>
      <c r="J128">
        <v>1.7280766396462786</v>
      </c>
      <c r="K128">
        <v>1.724669603524229</v>
      </c>
    </row>
    <row r="129" spans="1:11" x14ac:dyDescent="0.3">
      <c r="A129" s="1" t="str">
        <f>HYPERLINK("[.\tse_pressure_data\1513.xlsx]1513!$A268","﻿中興電          ")</f>
        <v xml:space="preserve">﻿中興電          </v>
      </c>
      <c r="B129">
        <v>1.572951783614269</v>
      </c>
      <c r="C129">
        <v>1.6461833525124665</v>
      </c>
      <c r="D129">
        <v>1.2408841866616285</v>
      </c>
      <c r="E129">
        <v>1.2274500390085819</v>
      </c>
      <c r="F129">
        <v>1.268150786583556</v>
      </c>
      <c r="G129">
        <v>1.116821432383392</v>
      </c>
      <c r="H129">
        <v>1.2845810866860223</v>
      </c>
      <c r="I129">
        <v>1.0364459959273573</v>
      </c>
      <c r="J129">
        <v>1.0153639559224299</v>
      </c>
      <c r="K129">
        <v>1.22585455829834</v>
      </c>
    </row>
    <row r="130" spans="1:11" x14ac:dyDescent="0.3">
      <c r="A130" s="1" t="str">
        <f>HYPERLINK("[.\tse_pressure_data\1514.xlsx]1514!$A268","﻿亞力            ")</f>
        <v xml:space="preserve">﻿亞力            </v>
      </c>
      <c r="B130">
        <v>1.0167032163742691</v>
      </c>
      <c r="C130">
        <v>1.0329786458712922</v>
      </c>
      <c r="D130">
        <v>1.0001066325442525</v>
      </c>
      <c r="E130">
        <v>0.97166268350973029</v>
      </c>
      <c r="F130">
        <v>1.0038220038220038</v>
      </c>
      <c r="G130">
        <v>1.0229419703103915</v>
      </c>
      <c r="H130">
        <v>1.0195250164272975</v>
      </c>
      <c r="I130">
        <v>0.96597258984765599</v>
      </c>
      <c r="J130">
        <v>0.94437968857407573</v>
      </c>
      <c r="K130">
        <v>0.96122399903811473</v>
      </c>
    </row>
    <row r="131" spans="1:11" x14ac:dyDescent="0.3">
      <c r="A131" s="1" t="str">
        <f>HYPERLINK("[.\tse_pressure_data\1515.xlsx]1515!$A268","﻿力山            ")</f>
        <v xml:space="preserve">﻿力山            </v>
      </c>
      <c r="B131">
        <v>1.5246033340028118</v>
      </c>
      <c r="C131">
        <v>1.6071094099922636</v>
      </c>
      <c r="D131">
        <v>1.5877179017750538</v>
      </c>
      <c r="E131">
        <v>1.5724514149335151</v>
      </c>
      <c r="F131">
        <v>1.549629910799013</v>
      </c>
      <c r="G131">
        <v>1.491349232042013</v>
      </c>
      <c r="H131">
        <v>1.5927336759262587</v>
      </c>
      <c r="I131">
        <v>1.6066332297259114</v>
      </c>
      <c r="J131">
        <v>1.5989769820971866</v>
      </c>
      <c r="K131">
        <v>1.728652218202255</v>
      </c>
    </row>
    <row r="132" spans="1:11" x14ac:dyDescent="0.3">
      <c r="A132" s="1" t="str">
        <f>HYPERLINK("[.\tse_pressure_data\1516.xlsx]1516!$A268","﻿川飛            ")</f>
        <v xml:space="preserve">﻿川飛            </v>
      </c>
      <c r="B132">
        <v>0.49898167006109978</v>
      </c>
      <c r="C132">
        <v>0.47650788489676477</v>
      </c>
      <c r="D132">
        <v>0.53249818445896879</v>
      </c>
      <c r="E132">
        <v>0.50711938663745892</v>
      </c>
      <c r="F132">
        <v>0.48733459357277881</v>
      </c>
      <c r="G132">
        <v>0.4485294117647059</v>
      </c>
      <c r="H132">
        <v>0.57166988416988418</v>
      </c>
      <c r="I132">
        <v>0.52478632478632481</v>
      </c>
      <c r="J132">
        <v>0.50218446601941746</v>
      </c>
      <c r="K132">
        <v>0.44712699179140514</v>
      </c>
    </row>
    <row r="133" spans="1:11" x14ac:dyDescent="0.3">
      <c r="A133" s="1" t="str">
        <f>HYPERLINK("[.\tse_pressure_data\1517.xlsx]1517!$A268","﻿利奇            ")</f>
        <v xml:space="preserve">﻿利奇            </v>
      </c>
      <c r="B133">
        <v>0.9963169525413027</v>
      </c>
      <c r="C133">
        <v>1.0033333333333334</v>
      </c>
      <c r="D133">
        <v>0.99045521292217331</v>
      </c>
      <c r="E133">
        <v>0.97788621262458475</v>
      </c>
      <c r="F133">
        <v>0.97221650545379712</v>
      </c>
      <c r="G133">
        <v>0.96338955162484574</v>
      </c>
      <c r="H133">
        <v>0.98265483113967966</v>
      </c>
      <c r="I133">
        <v>0.97562965228918119</v>
      </c>
      <c r="J133">
        <v>0.92148927559692428</v>
      </c>
      <c r="K133">
        <v>0.9251276813074566</v>
      </c>
    </row>
    <row r="134" spans="1:11" x14ac:dyDescent="0.3">
      <c r="A134" s="1" t="str">
        <f>HYPERLINK("[.\tse_pressure_data\1519.xlsx]1519!$A268","﻿華城            ")</f>
        <v xml:space="preserve">﻿華城            </v>
      </c>
      <c r="B134">
        <v>0.99458983392048317</v>
      </c>
      <c r="C134">
        <v>0.99807513194660047</v>
      </c>
      <c r="D134">
        <v>0.9868898018366361</v>
      </c>
      <c r="E134">
        <v>0.94983134336349517</v>
      </c>
      <c r="F134">
        <v>0.91724461594618556</v>
      </c>
      <c r="G134">
        <v>0.87244159603059745</v>
      </c>
      <c r="H134">
        <v>0.90800248782004767</v>
      </c>
      <c r="I134">
        <v>0.86687022900763355</v>
      </c>
      <c r="J134">
        <v>0.87883659014417037</v>
      </c>
      <c r="K134">
        <v>0.84626669364629703</v>
      </c>
    </row>
    <row r="135" spans="1:11" x14ac:dyDescent="0.3">
      <c r="A135" s="1" t="str">
        <f>HYPERLINK("[.\tse_pressure_data\1521.xlsx]1521!$A268","﻿大億            ")</f>
        <v xml:space="preserve">﻿大億            </v>
      </c>
      <c r="B135">
        <v>1.3192612137203166</v>
      </c>
      <c r="C135">
        <v>1.343957503320053</v>
      </c>
      <c r="D135">
        <v>1.3529411764705883</v>
      </c>
      <c r="E135">
        <v>1.3642857142857143</v>
      </c>
      <c r="F135">
        <v>1.1846153846153846</v>
      </c>
      <c r="G135">
        <v>1.1541725601131543</v>
      </c>
      <c r="H135">
        <v>1.3301282051282051</v>
      </c>
      <c r="I135">
        <v>1.2753623188405796</v>
      </c>
      <c r="J135">
        <v>1.4142857142857144</v>
      </c>
      <c r="K135">
        <v>1.3333333333333333</v>
      </c>
    </row>
    <row r="136" spans="1:11" x14ac:dyDescent="0.3">
      <c r="A136" s="1" t="str">
        <f>HYPERLINK("[.\tse_pressure_data\1522.xlsx]1522!$A268","﻿堤維西          ")</f>
        <v xml:space="preserve">﻿堤維西          </v>
      </c>
      <c r="B136">
        <v>1.1086733447349133</v>
      </c>
      <c r="C136">
        <v>1.1267695011227179</v>
      </c>
      <c r="D136">
        <v>1.1388861508132084</v>
      </c>
      <c r="E136">
        <v>1.15306708431219</v>
      </c>
      <c r="F136">
        <v>1.150411905394632</v>
      </c>
      <c r="G136">
        <v>1.1207014949025409</v>
      </c>
      <c r="H136">
        <v>1.1220312086749538</v>
      </c>
      <c r="I136">
        <v>1.0010848928668294</v>
      </c>
      <c r="J136">
        <v>0.92520175236338487</v>
      </c>
      <c r="K136">
        <v>0.94522720065238075</v>
      </c>
    </row>
    <row r="137" spans="1:11" x14ac:dyDescent="0.3">
      <c r="A137" s="1" t="str">
        <f>HYPERLINK("[.\tse_pressure_data\1524.xlsx]1524!$A268","﻿耿鼎            ")</f>
        <v xml:space="preserve">﻿耿鼎            </v>
      </c>
      <c r="B137">
        <v>1.1603053435114503</v>
      </c>
      <c r="C137">
        <v>1.1697035957240038</v>
      </c>
      <c r="D137">
        <v>1.2099561830574488</v>
      </c>
      <c r="E137">
        <v>1.226164350158498</v>
      </c>
      <c r="F137">
        <v>1.1788000948541617</v>
      </c>
      <c r="G137">
        <v>1.149100553505535</v>
      </c>
      <c r="H137">
        <v>1.3168907071887785</v>
      </c>
      <c r="I137">
        <v>1.4856369201789499</v>
      </c>
      <c r="J137">
        <v>1.1109411480557121</v>
      </c>
      <c r="K137">
        <v>1.0745597020715338</v>
      </c>
    </row>
    <row r="138" spans="1:11" x14ac:dyDescent="0.3">
      <c r="A138" s="1" t="str">
        <f>HYPERLINK("[.\tse_pressure_data\1525.xlsx]1525!$A268","﻿江申            ")</f>
        <v xml:space="preserve">﻿江申            </v>
      </c>
      <c r="B138">
        <v>1.0150753768844221</v>
      </c>
      <c r="C138">
        <v>1.0762607626076262</v>
      </c>
      <c r="D138">
        <v>1.0813679245283019</v>
      </c>
      <c r="E138">
        <v>1.1022326674500587</v>
      </c>
      <c r="F138">
        <v>0.98761261261261257</v>
      </c>
      <c r="G138">
        <v>0.97809419496166483</v>
      </c>
      <c r="H138">
        <v>0.99458874458874458</v>
      </c>
      <c r="I138">
        <v>0.99149840595111582</v>
      </c>
      <c r="J138">
        <v>1.0373931623931625</v>
      </c>
      <c r="K138">
        <v>0.88376560999039389</v>
      </c>
    </row>
    <row r="139" spans="1:11" x14ac:dyDescent="0.3">
      <c r="A139" s="1" t="str">
        <f>HYPERLINK("[.\tse_pressure_data\1526.xlsx]1526!$A268","﻿日馳            ")</f>
        <v xml:space="preserve">﻿日馳            </v>
      </c>
      <c r="B139">
        <v>0.7473082706766917</v>
      </c>
      <c r="C139">
        <v>0.78393351800554012</v>
      </c>
      <c r="D139">
        <v>0.77253588222638847</v>
      </c>
      <c r="E139">
        <v>0.87507911153973661</v>
      </c>
      <c r="F139">
        <v>0.82179037182889592</v>
      </c>
      <c r="G139">
        <v>0.77826280375910584</v>
      </c>
      <c r="H139">
        <v>0.71361041030407646</v>
      </c>
      <c r="I139">
        <v>0.66729850436227667</v>
      </c>
      <c r="J139">
        <v>0.5899025017005517</v>
      </c>
      <c r="K139">
        <v>0.56563482466747284</v>
      </c>
    </row>
    <row r="140" spans="1:11" x14ac:dyDescent="0.3">
      <c r="A140" s="1" t="str">
        <f>HYPERLINK("[.\tse_pressure_data\1527.xlsx]1527!$A268","﻿鑽全            ")</f>
        <v xml:space="preserve">﻿鑽全            </v>
      </c>
      <c r="B140">
        <v>1.0175000000000001</v>
      </c>
      <c r="C140">
        <v>1.01179184824404</v>
      </c>
      <c r="D140">
        <v>1.0597014925373134</v>
      </c>
      <c r="E140">
        <v>1.060536398467433</v>
      </c>
      <c r="F140">
        <v>1.0926383399209487</v>
      </c>
      <c r="G140">
        <v>0.95787187839305099</v>
      </c>
      <c r="H140">
        <v>1.0448160535117057</v>
      </c>
      <c r="I140">
        <v>1.0109010011123472</v>
      </c>
      <c r="J140">
        <v>1.0506985128436233</v>
      </c>
      <c r="K140">
        <v>1.0518146541885414</v>
      </c>
    </row>
    <row r="141" spans="1:11" x14ac:dyDescent="0.3">
      <c r="A141" s="1" t="str">
        <f>HYPERLINK("[.\tse_pressure_data\1528.xlsx]1528!$A268","﻿恩德            ")</f>
        <v xml:space="preserve">﻿恩德            </v>
      </c>
      <c r="B141">
        <v>1.4938230383973288</v>
      </c>
      <c r="C141">
        <v>1.5919322709163346</v>
      </c>
      <c r="D141">
        <v>1.4443595376826821</v>
      </c>
      <c r="E141">
        <v>1.4524921376155533</v>
      </c>
      <c r="F141">
        <v>1.3612919808087731</v>
      </c>
      <c r="G141">
        <v>1.3000422119037569</v>
      </c>
      <c r="H141">
        <v>1.1388663310053597</v>
      </c>
      <c r="I141">
        <v>1.7048797571795471</v>
      </c>
      <c r="J141">
        <v>1.3768319438350154</v>
      </c>
      <c r="K141">
        <v>1.3630710769496501</v>
      </c>
    </row>
    <row r="142" spans="1:11" x14ac:dyDescent="0.3">
      <c r="A142" s="1" t="str">
        <f>HYPERLINK("[.\tse_pressure_data\1529.xlsx]1529!$A268","﻿樂士            ")</f>
        <v xml:space="preserve">﻿樂士            </v>
      </c>
      <c r="B142">
        <v>0.44515628033391574</v>
      </c>
      <c r="C142">
        <v>0.45972416550069956</v>
      </c>
      <c r="D142">
        <v>0.42631789137380194</v>
      </c>
      <c r="E142">
        <v>0.41147840194686675</v>
      </c>
      <c r="F142">
        <v>0.40164948453608246</v>
      </c>
      <c r="G142">
        <v>0.38861857414850859</v>
      </c>
      <c r="H142">
        <v>0.41366181410974245</v>
      </c>
      <c r="I142">
        <v>0.37542201215395005</v>
      </c>
      <c r="J142">
        <v>0.38790381345640029</v>
      </c>
      <c r="K142">
        <v>0.27591136526090065</v>
      </c>
    </row>
    <row r="143" spans="1:11" x14ac:dyDescent="0.3">
      <c r="A143" s="1" t="str">
        <f>HYPERLINK("[.\tse_pressure_data\1530.xlsx]1530!$A268","﻿亞崴            ")</f>
        <v xml:space="preserve">﻿亞崴            </v>
      </c>
      <c r="B143">
        <v>0.96913580246913578</v>
      </c>
      <c r="C143">
        <v>0.967741935483871</v>
      </c>
      <c r="D143">
        <v>0.85528756957328389</v>
      </c>
      <c r="E143">
        <v>0.85444234404536867</v>
      </c>
      <c r="F143">
        <v>0.82417582417582413</v>
      </c>
      <c r="G143">
        <v>0.80109489051094895</v>
      </c>
      <c r="H143">
        <v>0.86964618249534453</v>
      </c>
      <c r="I143">
        <v>0.83177570093457942</v>
      </c>
      <c r="J143">
        <v>0.85057471264367812</v>
      </c>
      <c r="K143">
        <v>0.83333333333333337</v>
      </c>
    </row>
    <row r="144" spans="1:11" x14ac:dyDescent="0.3">
      <c r="A144" s="1" t="str">
        <f>HYPERLINK("[.\tse_pressure_data\1531.xlsx]1531!$A268","﻿高林股          ")</f>
        <v xml:space="preserve">﻿高林股          </v>
      </c>
      <c r="B144">
        <v>0.79589779550335271</v>
      </c>
      <c r="C144">
        <v>0.782413914265636</v>
      </c>
      <c r="D144">
        <v>0.77471701450300667</v>
      </c>
      <c r="E144">
        <v>0.75546417556876588</v>
      </c>
      <c r="F144">
        <v>0.75580090660203758</v>
      </c>
      <c r="G144">
        <v>0.76585660517633936</v>
      </c>
      <c r="H144">
        <v>0.77900474601757441</v>
      </c>
      <c r="I144">
        <v>0.71558686288585782</v>
      </c>
      <c r="J144">
        <v>0.67291526563550774</v>
      </c>
      <c r="K144">
        <v>0.65513685386499376</v>
      </c>
    </row>
    <row r="145" spans="1:11" x14ac:dyDescent="0.3">
      <c r="A145" s="1" t="str">
        <f>HYPERLINK("[.\tse_pressure_data\1532.xlsx]1532!$A268","﻿勤美            ")</f>
        <v xml:space="preserve">﻿勤美            </v>
      </c>
      <c r="B145">
        <v>1.0084925690021231</v>
      </c>
      <c r="C145">
        <v>0.97921046484466245</v>
      </c>
      <c r="D145">
        <v>0.95160911439981211</v>
      </c>
      <c r="E145">
        <v>0.91547375596455349</v>
      </c>
      <c r="F145">
        <v>0.92672112018669783</v>
      </c>
      <c r="G145">
        <v>0.96891797148866554</v>
      </c>
      <c r="H145">
        <v>0.95532565248060197</v>
      </c>
      <c r="I145">
        <v>0.98572120038722166</v>
      </c>
      <c r="J145">
        <v>1.0443037974683544</v>
      </c>
      <c r="K145">
        <v>0.87732121691031217</v>
      </c>
    </row>
    <row r="146" spans="1:11" x14ac:dyDescent="0.3">
      <c r="A146" s="1" t="str">
        <f>HYPERLINK("[.\tse_pressure_data\1533.xlsx]1533!$A268","﻿車王電          ")</f>
        <v xml:space="preserve">﻿車王電          </v>
      </c>
      <c r="B146">
        <v>1.5048458149779735</v>
      </c>
      <c r="C146">
        <v>1.5905511811023623</v>
      </c>
      <c r="D146">
        <v>1.906854130052724</v>
      </c>
      <c r="E146">
        <v>1.3794512551079976</v>
      </c>
      <c r="F146">
        <v>1.4058624577226606</v>
      </c>
      <c r="G146">
        <v>1.3133228014744602</v>
      </c>
      <c r="H146">
        <v>1.6426680783483325</v>
      </c>
      <c r="I146">
        <v>1.0002463054187192</v>
      </c>
      <c r="J146">
        <v>0.97353992848629323</v>
      </c>
      <c r="K146">
        <v>0.9629983289567916</v>
      </c>
    </row>
    <row r="147" spans="1:11" x14ac:dyDescent="0.3">
      <c r="A147" s="1" t="str">
        <f>HYPERLINK("[.\tse_pressure_data\1535.xlsx]1535!$A268","﻿中宇            ")</f>
        <v xml:space="preserve">﻿中宇            </v>
      </c>
      <c r="B147">
        <v>0.63033448673587078</v>
      </c>
      <c r="C147">
        <v>0.66177791080514814</v>
      </c>
      <c r="D147">
        <v>0.64392579293836028</v>
      </c>
      <c r="E147">
        <v>0.63242759032547025</v>
      </c>
      <c r="F147">
        <v>0.61728395061728392</v>
      </c>
      <c r="G147">
        <v>0.59124311083894676</v>
      </c>
      <c r="H147">
        <v>0.57710064635272396</v>
      </c>
      <c r="I147">
        <v>0.56661466458658349</v>
      </c>
      <c r="J147">
        <v>0.57165706973768393</v>
      </c>
      <c r="K147">
        <v>0.51277139208173694</v>
      </c>
    </row>
    <row r="148" spans="1:11" x14ac:dyDescent="0.3">
      <c r="A148" s="1" t="str">
        <f>HYPERLINK("[.\tse_pressure_data\1536.xlsx]1536!$A268","﻿和大            ")</f>
        <v xml:space="preserve">﻿和大            </v>
      </c>
      <c r="B148">
        <v>1.5828199863107462</v>
      </c>
      <c r="C148">
        <v>1.6162853401124722</v>
      </c>
      <c r="D148">
        <v>1.6918060674794444</v>
      </c>
      <c r="E148">
        <v>1.6861647808504554</v>
      </c>
      <c r="F148">
        <v>1.5673056026426739</v>
      </c>
      <c r="G148">
        <v>1.5176378364253984</v>
      </c>
      <c r="H148">
        <v>1.6872084805653711</v>
      </c>
      <c r="I148">
        <v>1.530314131330708</v>
      </c>
      <c r="J148">
        <v>1.5619813005567811</v>
      </c>
      <c r="K148">
        <v>1.5731830506672337</v>
      </c>
    </row>
    <row r="149" spans="1:11" x14ac:dyDescent="0.3">
      <c r="A149" s="1" t="str">
        <f>HYPERLINK("[.\tse_pressure_data\1537.xlsx]1537!$A268","﻿廣隆            ")</f>
        <v xml:space="preserve">﻿廣隆            </v>
      </c>
      <c r="B149">
        <v>1.282084690553746</v>
      </c>
      <c r="C149">
        <v>1.3305954825462012</v>
      </c>
      <c r="D149">
        <v>1.260898725687458</v>
      </c>
      <c r="E149">
        <v>1.1380494505494505</v>
      </c>
      <c r="F149">
        <v>1.0464310464310465</v>
      </c>
      <c r="G149">
        <v>1.0397766922540126</v>
      </c>
      <c r="H149">
        <v>1.0413589364844904</v>
      </c>
      <c r="I149">
        <v>0.96188340807174888</v>
      </c>
      <c r="J149">
        <v>0.97011308562197096</v>
      </c>
      <c r="K149">
        <v>1.0524444444444445</v>
      </c>
    </row>
    <row r="150" spans="1:11" x14ac:dyDescent="0.3">
      <c r="A150" s="1" t="str">
        <f>HYPERLINK("[.\tse_pressure_data\1538.xlsx]1538!$A268","﻿正峰新          ")</f>
        <v xml:space="preserve">﻿正峰新          </v>
      </c>
      <c r="B150">
        <v>0.8342857142857143</v>
      </c>
      <c r="C150">
        <v>0.82896590588898278</v>
      </c>
      <c r="D150">
        <v>0.8518828451882845</v>
      </c>
      <c r="E150">
        <v>0.84407427635172039</v>
      </c>
      <c r="F150">
        <v>0.82867039701572076</v>
      </c>
      <c r="G150">
        <v>0.85109327428729586</v>
      </c>
      <c r="H150">
        <v>0.8828169014084507</v>
      </c>
      <c r="I150">
        <v>0.79102384291725103</v>
      </c>
      <c r="J150">
        <v>0.68615301724137934</v>
      </c>
      <c r="K150">
        <v>0.48932764140875135</v>
      </c>
    </row>
    <row r="151" spans="1:11" x14ac:dyDescent="0.3">
      <c r="A151" s="1" t="str">
        <f>HYPERLINK("[.\tse_pressure_data\1539.xlsx]1539!$A268","﻿巨庭            ")</f>
        <v xml:space="preserve">﻿巨庭            </v>
      </c>
      <c r="B151">
        <v>1.9387514723203769</v>
      </c>
      <c r="C151">
        <v>1.8964241676942046</v>
      </c>
      <c r="D151">
        <v>1.7970838396111786</v>
      </c>
      <c r="E151">
        <v>1.6994413407821229</v>
      </c>
      <c r="F151">
        <v>1.6497844827586208</v>
      </c>
      <c r="G151">
        <v>1.6187904967602591</v>
      </c>
      <c r="H151">
        <v>1.8182784272051009</v>
      </c>
      <c r="I151">
        <v>1.8231511254019293</v>
      </c>
      <c r="J151">
        <v>1.7318087318087318</v>
      </c>
      <c r="K151">
        <v>1.6725082146768895</v>
      </c>
    </row>
    <row r="152" spans="1:11" x14ac:dyDescent="0.3">
      <c r="A152" s="1" t="str">
        <f>HYPERLINK("[.\tse_pressure_data\1540.xlsx]1540!$A268","﻿喬福            ")</f>
        <v xml:space="preserve">﻿喬福            </v>
      </c>
      <c r="B152">
        <v>0.40087973005543504</v>
      </c>
      <c r="C152">
        <v>0.38356833302813892</v>
      </c>
      <c r="D152">
        <v>0.37055583375062595</v>
      </c>
      <c r="E152">
        <v>0.31845931147334633</v>
      </c>
      <c r="F152">
        <v>0.28771353482260181</v>
      </c>
      <c r="G152">
        <v>0.20122320048390349</v>
      </c>
      <c r="H152">
        <v>7.4490513000702738E-2</v>
      </c>
      <c r="I152">
        <v>0.20036727198530913</v>
      </c>
      <c r="J152">
        <v>0.57775189283634243</v>
      </c>
      <c r="K152">
        <v>0.51191167925624637</v>
      </c>
    </row>
    <row r="153" spans="1:11" x14ac:dyDescent="0.3">
      <c r="A153" s="1" t="str">
        <f>HYPERLINK("[.\tse_pressure_data\1541.xlsx]1541!$A268","﻿錩泰            ")</f>
        <v xml:space="preserve">﻿錩泰            </v>
      </c>
      <c r="B153">
        <v>1.1161616161616161</v>
      </c>
      <c r="C153">
        <v>1.558139534883721</v>
      </c>
      <c r="D153">
        <v>1.5658914728682169</v>
      </c>
      <c r="E153">
        <v>1.43</v>
      </c>
      <c r="F153">
        <v>1.2875000000000001</v>
      </c>
      <c r="G153">
        <v>1.3229974160206719</v>
      </c>
      <c r="H153">
        <v>1.3839999999999999</v>
      </c>
      <c r="I153">
        <v>1.2216867469879518</v>
      </c>
      <c r="J153">
        <v>1.191747572815534</v>
      </c>
      <c r="K153">
        <v>1.2225063938618925</v>
      </c>
    </row>
    <row r="154" spans="1:11" x14ac:dyDescent="0.3">
      <c r="A154" s="1" t="str">
        <f>HYPERLINK("[.\tse_pressure_data\1558.xlsx]1558!$A268","﻿伸興            ")</f>
        <v xml:space="preserve">﻿伸興            </v>
      </c>
      <c r="B154">
        <v>1.4006849315068493</v>
      </c>
      <c r="C154">
        <v>1.5096660808435853</v>
      </c>
      <c r="D154">
        <v>1.6018348623853211</v>
      </c>
      <c r="E154">
        <v>1.5645756457564575</v>
      </c>
      <c r="F154">
        <v>1.5813953488372092</v>
      </c>
      <c r="G154">
        <v>1.5647969052224371</v>
      </c>
      <c r="H154">
        <v>1.6610878661087867</v>
      </c>
      <c r="I154">
        <v>1.6029723991507432</v>
      </c>
      <c r="J154">
        <v>1.3847695390781563</v>
      </c>
      <c r="K154">
        <v>1.3235294117647058</v>
      </c>
    </row>
    <row r="155" spans="1:11" x14ac:dyDescent="0.3">
      <c r="A155" s="1" t="str">
        <f>HYPERLINK("[.\tse_pressure_data\1560.xlsx]1560!$A268","﻿中砂            ")</f>
        <v xml:space="preserve">﻿中砂            </v>
      </c>
      <c r="B155">
        <v>1.8085889570552147</v>
      </c>
      <c r="C155">
        <v>1.6387257117035698</v>
      </c>
      <c r="D155">
        <v>1.5487421383647799</v>
      </c>
      <c r="E155">
        <v>1.3888669561784446</v>
      </c>
      <c r="F155">
        <v>1.2943416757344941</v>
      </c>
      <c r="G155">
        <v>1.2826431718061675</v>
      </c>
      <c r="H155">
        <v>1.3890243902439023</v>
      </c>
      <c r="I155">
        <v>1.4945936519009417</v>
      </c>
      <c r="J155">
        <v>1.2940148536478813</v>
      </c>
      <c r="K155">
        <v>1.0096569761593401</v>
      </c>
    </row>
    <row r="156" spans="1:11" x14ac:dyDescent="0.3">
      <c r="A156" s="1" t="str">
        <f>HYPERLINK("[.\tse_pressure_data\1568.xlsx]1568!$A268","﻿倉佑            ")</f>
        <v xml:space="preserve">﻿倉佑            </v>
      </c>
      <c r="B156">
        <v>2.1877691645133504</v>
      </c>
      <c r="C156">
        <v>1.7620927936821322</v>
      </c>
      <c r="D156">
        <v>1.5782190132370637</v>
      </c>
      <c r="E156">
        <v>1.6391595615103531</v>
      </c>
      <c r="F156">
        <v>1.6127985844883514</v>
      </c>
      <c r="G156">
        <v>1.6815343443354147</v>
      </c>
      <c r="H156">
        <v>1.644247281053234</v>
      </c>
      <c r="I156">
        <v>1.3955035558614362</v>
      </c>
      <c r="J156">
        <v>1.2976190476190477</v>
      </c>
      <c r="K156">
        <v>1.1900584795321638</v>
      </c>
    </row>
    <row r="157" spans="1:11" x14ac:dyDescent="0.3">
      <c r="A157" s="1" t="str">
        <f>HYPERLINK("[.\tse_pressure_data\1582.xlsx]1582!$A268","﻿信錦            ")</f>
        <v xml:space="preserve">﻿信錦            </v>
      </c>
      <c r="B157">
        <v>1.2469519483624194</v>
      </c>
      <c r="C157">
        <v>1.3435036867531147</v>
      </c>
      <c r="D157">
        <v>1.2404543257612373</v>
      </c>
      <c r="E157">
        <v>1.2984448284374228</v>
      </c>
      <c r="F157">
        <v>1.2675363032242186</v>
      </c>
      <c r="G157">
        <v>1.3228643216080402</v>
      </c>
      <c r="H157">
        <v>1.3895006402048655</v>
      </c>
      <c r="I157">
        <v>1.216552734375</v>
      </c>
      <c r="J157">
        <v>1.2121579074836522</v>
      </c>
      <c r="K157">
        <v>1.2072202166064983</v>
      </c>
    </row>
    <row r="158" spans="1:11" x14ac:dyDescent="0.3">
      <c r="A158" s="1" t="str">
        <f>HYPERLINK("[.\tse_pressure_data\1583.xlsx]1583!$A268","﻿程泰            ")</f>
        <v xml:space="preserve">﻿程泰            </v>
      </c>
      <c r="B158">
        <v>0.90559999999999996</v>
      </c>
      <c r="C158">
        <v>1.2431818181818182</v>
      </c>
      <c r="D158">
        <v>1.3192019950124689</v>
      </c>
      <c r="E158">
        <v>1.3503836317135549</v>
      </c>
      <c r="F158">
        <v>1.2921052631578946</v>
      </c>
      <c r="G158">
        <v>1.2605042016806722</v>
      </c>
      <c r="H158">
        <v>1.1464788732394366</v>
      </c>
      <c r="I158">
        <v>1.1378299120234605</v>
      </c>
      <c r="J158">
        <v>1.1717791411042944</v>
      </c>
      <c r="K158">
        <v>1.1682539682539683</v>
      </c>
    </row>
    <row r="159" spans="1:11" x14ac:dyDescent="0.3">
      <c r="A159" s="1" t="str">
        <f>HYPERLINK("[.\tse_pressure_data\1589.xlsx]1589!$A268","﻿F-永冠          ")</f>
        <v xml:space="preserve">﻿F-永冠          </v>
      </c>
      <c r="B159">
        <v>0.68028565876408864</v>
      </c>
      <c r="C159">
        <v>0.67307411552873619</v>
      </c>
      <c r="D159">
        <v>0.66229556505083242</v>
      </c>
      <c r="E159">
        <v>0.6497166716373397</v>
      </c>
      <c r="F159">
        <v>0.62843715628437158</v>
      </c>
      <c r="G159">
        <v>0.59366309098132697</v>
      </c>
      <c r="H159">
        <v>0.5933165829145729</v>
      </c>
      <c r="I159">
        <v>0.55443395750264979</v>
      </c>
      <c r="J159">
        <v>0.51922083290275911</v>
      </c>
      <c r="K159">
        <v>0.57511533061442799</v>
      </c>
    </row>
    <row r="160" spans="1:11" x14ac:dyDescent="0.3">
      <c r="A160" s="1" t="str">
        <f>HYPERLINK("[.\tse_pressure_data\1590.xlsx]1590!$A268","﻿F-亞德          ")</f>
        <v xml:space="preserve">﻿F-亞德          </v>
      </c>
      <c r="B160">
        <v>1.5245555141116498</v>
      </c>
      <c r="C160">
        <v>1.5762907783200617</v>
      </c>
      <c r="D160">
        <v>1.5670265999473267</v>
      </c>
      <c r="E160">
        <v>1.3784752255035215</v>
      </c>
      <c r="F160">
        <v>1.653061224489796</v>
      </c>
      <c r="G160">
        <v>1.428682532275626</v>
      </c>
      <c r="H160">
        <v>1.321262618170165</v>
      </c>
      <c r="I160">
        <v>1.4145396937158952</v>
      </c>
      <c r="J160">
        <v>1.3467561521252795</v>
      </c>
      <c r="K160">
        <v>1.4363069016152716</v>
      </c>
    </row>
    <row r="161" spans="1:11" x14ac:dyDescent="0.3">
      <c r="A161" s="1" t="str">
        <f>HYPERLINK("[.\tse_pressure_data\1592.xlsx]1592!$A268","﻿F-英瑞          ")</f>
        <v xml:space="preserve">﻿F-英瑞          </v>
      </c>
      <c r="B161">
        <v>1.2048780487804878</v>
      </c>
      <c r="C161">
        <v>1.21</v>
      </c>
      <c r="D161">
        <v>1.1666666666666667</v>
      </c>
      <c r="E161">
        <v>1.0781010719754978</v>
      </c>
      <c r="F161">
        <v>1.1362179487179487</v>
      </c>
      <c r="G161">
        <v>1.0887772194304857</v>
      </c>
      <c r="H161">
        <v>1.2904564315352698</v>
      </c>
      <c r="I161">
        <v>1.3417190775681342</v>
      </c>
      <c r="J161">
        <v>1.3714902807775378</v>
      </c>
      <c r="K161">
        <v>1.2459016393442623</v>
      </c>
    </row>
    <row r="162" spans="1:11" x14ac:dyDescent="0.3">
      <c r="A162" s="1" t="str">
        <f>HYPERLINK("[.\tse_pressure_data\1603.xlsx]1603!$A268","﻿華電            ")</f>
        <v xml:space="preserve">﻿華電            </v>
      </c>
      <c r="B162">
        <v>3.3206710374084074</v>
      </c>
      <c r="C162">
        <v>3.3578685068046772</v>
      </c>
      <c r="D162">
        <v>3.0629473297852816</v>
      </c>
      <c r="E162">
        <v>3.1766838389620302</v>
      </c>
      <c r="F162">
        <v>2.9132451468819789</v>
      </c>
      <c r="G162">
        <v>2.8080548414738646</v>
      </c>
      <c r="H162">
        <v>3.3740679370339683</v>
      </c>
      <c r="I162">
        <v>3.0332131334219019</v>
      </c>
      <c r="J162">
        <v>2.8513692162417374</v>
      </c>
      <c r="K162">
        <v>2.5583584337349397</v>
      </c>
    </row>
    <row r="163" spans="1:11" x14ac:dyDescent="0.3">
      <c r="A163" s="1" t="str">
        <f>HYPERLINK("[.\tse_pressure_data\1604.xlsx]1604!$A268","﻿聲寶            ")</f>
        <v xml:space="preserve">﻿聲寶            </v>
      </c>
      <c r="B163">
        <v>0.76991150442477874</v>
      </c>
      <c r="C163">
        <v>0.79014135556360998</v>
      </c>
      <c r="D163">
        <v>0.72481616018428285</v>
      </c>
      <c r="E163">
        <v>0.7170498915401301</v>
      </c>
      <c r="F163">
        <v>0.70769098268882957</v>
      </c>
      <c r="G163">
        <v>0.69452548481208165</v>
      </c>
      <c r="H163">
        <v>0.70595248232989871</v>
      </c>
      <c r="I163">
        <v>0.58531927894897651</v>
      </c>
      <c r="J163">
        <v>0.56220460436042075</v>
      </c>
      <c r="K163">
        <v>0.53946038410699015</v>
      </c>
    </row>
    <row r="164" spans="1:11" x14ac:dyDescent="0.3">
      <c r="A164" s="1" t="str">
        <f>HYPERLINK("[.\tse_pressure_data\1605.xlsx]1605!$A268","﻿華新            ")</f>
        <v xml:space="preserve">﻿華新            </v>
      </c>
      <c r="B164">
        <v>1.4435766915370849</v>
      </c>
      <c r="C164">
        <v>1.6609734342606433</v>
      </c>
      <c r="D164">
        <v>1.5198773755754837</v>
      </c>
      <c r="E164">
        <v>1.4198534567738132</v>
      </c>
      <c r="F164">
        <v>1.4127718045414426</v>
      </c>
      <c r="G164">
        <v>1.3200517729439809</v>
      </c>
      <c r="H164">
        <v>1.3401317795787859</v>
      </c>
      <c r="I164">
        <v>1.3903200478576236</v>
      </c>
      <c r="J164">
        <v>1.5321851802959066</v>
      </c>
      <c r="K164">
        <v>1.5648980997528463</v>
      </c>
    </row>
    <row r="165" spans="1:11" x14ac:dyDescent="0.3">
      <c r="A165" s="1" t="str">
        <f>HYPERLINK("[.\tse_pressure_data\1608.xlsx]1608!$A268","﻿華榮            ")</f>
        <v xml:space="preserve">﻿華榮            </v>
      </c>
      <c r="B165">
        <v>1.0988226278389299</v>
      </c>
      <c r="C165">
        <v>1.1039293266934989</v>
      </c>
      <c r="D165">
        <v>1.0569515582601436</v>
      </c>
      <c r="E165">
        <v>0.91213811489730678</v>
      </c>
      <c r="F165">
        <v>0.89980606802929397</v>
      </c>
      <c r="G165">
        <v>0.85390434479669541</v>
      </c>
      <c r="H165">
        <v>0.84652804032766227</v>
      </c>
      <c r="I165">
        <v>0.97409399773499439</v>
      </c>
      <c r="J165">
        <v>0.970603007188373</v>
      </c>
      <c r="K165">
        <v>0.95638035603551286</v>
      </c>
    </row>
    <row r="166" spans="1:11" x14ac:dyDescent="0.3">
      <c r="A166" s="1" t="str">
        <f>HYPERLINK("[.\tse_pressure_data\1609.xlsx]1609!$A268","﻿大亞            ")</f>
        <v xml:space="preserve">﻿大亞            </v>
      </c>
      <c r="B166">
        <v>1.1592389594164918</v>
      </c>
      <c r="C166">
        <v>1.2005919941664107</v>
      </c>
      <c r="D166">
        <v>1.2130968035001315</v>
      </c>
      <c r="E166">
        <v>1.1457129409303664</v>
      </c>
      <c r="F166">
        <v>1.1370065214482707</v>
      </c>
      <c r="G166">
        <v>1.1298456483202906</v>
      </c>
      <c r="H166">
        <v>1.1285048435251412</v>
      </c>
      <c r="I166">
        <v>1.1654762786684505</v>
      </c>
      <c r="J166">
        <v>1.1173113561697936</v>
      </c>
      <c r="K166">
        <v>1.1336367703071866</v>
      </c>
    </row>
    <row r="167" spans="1:11" x14ac:dyDescent="0.3">
      <c r="A167" s="1" t="str">
        <f>HYPERLINK("[.\tse_pressure_data\1611.xlsx]1611!$A268","﻿中電            ")</f>
        <v xml:space="preserve">﻿中電            </v>
      </c>
      <c r="B167">
        <v>0.99002064693737091</v>
      </c>
      <c r="C167">
        <v>1.0481891230930476</v>
      </c>
      <c r="D167">
        <v>0.98139429232230624</v>
      </c>
      <c r="E167">
        <v>0.91166900835613396</v>
      </c>
      <c r="F167">
        <v>0.90564796198135622</v>
      </c>
      <c r="G167">
        <v>0.85749235474006114</v>
      </c>
      <c r="H167">
        <v>0.86833333333333329</v>
      </c>
      <c r="I167">
        <v>0.87469166255550079</v>
      </c>
      <c r="J167">
        <v>0.83867274704726291</v>
      </c>
      <c r="K167">
        <v>0.82482325216025143</v>
      </c>
    </row>
    <row r="168" spans="1:11" x14ac:dyDescent="0.3">
      <c r="A168" s="1" t="str">
        <f>HYPERLINK("[.\tse_pressure_data\1612.xlsx]1612!$A268","﻿宏泰            ")</f>
        <v xml:space="preserve">﻿宏泰            </v>
      </c>
      <c r="B168">
        <v>1.2150245118875571</v>
      </c>
      <c r="C168">
        <v>1.1542969260954872</v>
      </c>
      <c r="D168">
        <v>1.0680260934860146</v>
      </c>
      <c r="E168">
        <v>1.0314761454369488</v>
      </c>
      <c r="F168">
        <v>1.0340881582711647</v>
      </c>
      <c r="G168">
        <v>1.0216203165126538</v>
      </c>
      <c r="H168">
        <v>1.0290046433837283</v>
      </c>
      <c r="I168">
        <v>1.03975997333037</v>
      </c>
      <c r="J168">
        <v>1.0287049254796772</v>
      </c>
      <c r="K168">
        <v>0.99507054224035352</v>
      </c>
    </row>
    <row r="169" spans="1:11" x14ac:dyDescent="0.3">
      <c r="A169" s="1" t="str">
        <f>HYPERLINK("[.\tse_pressure_data\1613.xlsx]1613!$A268","﻿台一            ")</f>
        <v xml:space="preserve">﻿台一            </v>
      </c>
      <c r="B169">
        <v>1.1358956760466712</v>
      </c>
      <c r="C169">
        <v>1.0772881355932202</v>
      </c>
      <c r="D169">
        <v>0.94440677966101694</v>
      </c>
      <c r="E169">
        <v>0.97386058981233248</v>
      </c>
      <c r="F169">
        <v>0.98213103904698873</v>
      </c>
      <c r="G169">
        <v>0.99865047233468285</v>
      </c>
      <c r="H169">
        <v>0.95646164478230822</v>
      </c>
      <c r="I169">
        <v>1.2317180616740089</v>
      </c>
      <c r="J169">
        <v>1.6740273396424816</v>
      </c>
      <c r="K169">
        <v>1.6222879684418146</v>
      </c>
    </row>
    <row r="170" spans="1:11" x14ac:dyDescent="0.3">
      <c r="A170" s="1" t="str">
        <f>HYPERLINK("[.\tse_pressure_data\1614.xlsx]1614!$A268","﻿三洋電          ")</f>
        <v xml:space="preserve">﻿三洋電          </v>
      </c>
      <c r="B170">
        <v>0.63454759106933023</v>
      </c>
      <c r="C170">
        <v>0.59825327510917026</v>
      </c>
      <c r="D170">
        <v>0.57612267250821469</v>
      </c>
      <c r="E170">
        <v>0.570627802690583</v>
      </c>
      <c r="F170">
        <v>0.56464088397790058</v>
      </c>
      <c r="G170">
        <v>0.63624511082138202</v>
      </c>
      <c r="H170">
        <v>0.73796033994334276</v>
      </c>
      <c r="I170">
        <v>0.72109826589595372</v>
      </c>
      <c r="J170">
        <v>0.73352855051244514</v>
      </c>
      <c r="K170">
        <v>0.71764705882352942</v>
      </c>
    </row>
    <row r="171" spans="1:11" x14ac:dyDescent="0.3">
      <c r="A171" s="1" t="str">
        <f>HYPERLINK("[.\tse_pressure_data\1615.xlsx]1615!$A268","﻿大山            ")</f>
        <v xml:space="preserve">﻿大山            </v>
      </c>
      <c r="B171">
        <v>0.79010841759044947</v>
      </c>
      <c r="C171">
        <v>0.84565685570710691</v>
      </c>
      <c r="D171">
        <v>0.84878714690748713</v>
      </c>
      <c r="E171">
        <v>0.64661876898007553</v>
      </c>
      <c r="F171">
        <v>0.63037585171074806</v>
      </c>
      <c r="G171">
        <v>0.63449752639740087</v>
      </c>
      <c r="H171">
        <v>0.63515828677839847</v>
      </c>
      <c r="I171">
        <v>0.6086891273354843</v>
      </c>
      <c r="J171">
        <v>0.5672089362021141</v>
      </c>
      <c r="K171">
        <v>0.55917837507635915</v>
      </c>
    </row>
    <row r="172" spans="1:11" x14ac:dyDescent="0.3">
      <c r="A172" s="1" t="str">
        <f>HYPERLINK("[.\tse_pressure_data\1616.xlsx]1616!$A268","﻿億泰            ")</f>
        <v xml:space="preserve">﻿億泰            </v>
      </c>
      <c r="B172">
        <v>1.0123946455131383</v>
      </c>
      <c r="C172">
        <v>1.2049875311720699</v>
      </c>
      <c r="D172">
        <v>1.1374732334047108</v>
      </c>
      <c r="E172">
        <v>0.80144840072420032</v>
      </c>
      <c r="F172">
        <v>0.76705816554809847</v>
      </c>
      <c r="G172">
        <v>0.74136204306459685</v>
      </c>
      <c r="H172">
        <v>0.74845898530109056</v>
      </c>
      <c r="I172">
        <v>0.73463687150837986</v>
      </c>
      <c r="J172">
        <v>0.74121184088806658</v>
      </c>
      <c r="K172">
        <v>0.7183625730994152</v>
      </c>
    </row>
    <row r="173" spans="1:11" x14ac:dyDescent="0.3">
      <c r="A173" s="1" t="str">
        <f>HYPERLINK("[.\tse_pressure_data\1617.xlsx]1617!$A268","﻿榮星            ")</f>
        <v xml:space="preserve">﻿榮星            </v>
      </c>
      <c r="B173">
        <v>1.2265912305516267</v>
      </c>
      <c r="C173">
        <v>1.3522064945878434</v>
      </c>
      <c r="D173">
        <v>1.1448825014565935</v>
      </c>
      <c r="E173">
        <v>0.86484901788331869</v>
      </c>
      <c r="F173">
        <v>0.85808339429407465</v>
      </c>
      <c r="G173">
        <v>0.83930885529157673</v>
      </c>
      <c r="H173">
        <v>0.91561126906177304</v>
      </c>
      <c r="I173">
        <v>0.90161621344279119</v>
      </c>
      <c r="J173">
        <v>0.87399872854418303</v>
      </c>
      <c r="K173">
        <v>0.83450881612090677</v>
      </c>
    </row>
    <row r="174" spans="1:11" x14ac:dyDescent="0.3">
      <c r="A174" s="1" t="str">
        <f>HYPERLINK("[.\tse_pressure_data\1618.xlsx]1618!$A268","﻿合機            ")</f>
        <v xml:space="preserve">﻿合機            </v>
      </c>
      <c r="B174">
        <v>0.84622038860793181</v>
      </c>
      <c r="C174">
        <v>0.84136072751768276</v>
      </c>
      <c r="D174">
        <v>0.82194987606719916</v>
      </c>
      <c r="E174">
        <v>0.73788328387734914</v>
      </c>
      <c r="F174">
        <v>0.73010737885462551</v>
      </c>
      <c r="G174">
        <v>0.87336785231877534</v>
      </c>
      <c r="H174">
        <v>0.94369291247543063</v>
      </c>
      <c r="I174">
        <v>0.99719306809860875</v>
      </c>
      <c r="J174">
        <v>1.0204356338717573</v>
      </c>
      <c r="K174">
        <v>1.0031175957101883</v>
      </c>
    </row>
    <row r="175" spans="1:11" x14ac:dyDescent="0.3">
      <c r="A175" s="1" t="str">
        <f>HYPERLINK("[.\tse_pressure_data\1626.xlsx]1626!$A268","﻿F-艾美          ")</f>
        <v xml:space="preserve">﻿F-艾美          </v>
      </c>
      <c r="B175">
        <v>1.2015748031496063</v>
      </c>
      <c r="C175">
        <v>1.4556962025316456</v>
      </c>
      <c r="D175">
        <v>0.84977578475336324</v>
      </c>
      <c r="E175">
        <v>0.81936887921653967</v>
      </c>
      <c r="F175">
        <v>0.79694323144104806</v>
      </c>
      <c r="G175">
        <v>0.76298701298701299</v>
      </c>
      <c r="H175">
        <v>0.81890660592255127</v>
      </c>
      <c r="I175">
        <v>0.98160919540229885</v>
      </c>
      <c r="J175">
        <v>1.2033660589060309</v>
      </c>
      <c r="K175">
        <v>1.0110701107011071</v>
      </c>
    </row>
    <row r="176" spans="1:11" x14ac:dyDescent="0.3">
      <c r="A176" s="1" t="str">
        <f>HYPERLINK("[.\tse_pressure_data\1701.xlsx]1701!$A268","﻿中化            ")</f>
        <v xml:space="preserve">﻿中化            </v>
      </c>
      <c r="B176">
        <v>1.2042748917748918</v>
      </c>
      <c r="C176">
        <v>1.1384813384813386</v>
      </c>
      <c r="D176">
        <v>1.0827067669172932</v>
      </c>
      <c r="E176">
        <v>1.0474881279680079</v>
      </c>
      <c r="F176">
        <v>1.1382951326294102</v>
      </c>
      <c r="G176">
        <v>1.0649056603773586</v>
      </c>
      <c r="H176">
        <v>1.2539093559501722</v>
      </c>
      <c r="I176">
        <v>1.306225165562914</v>
      </c>
      <c r="J176">
        <v>1.2332065906210392</v>
      </c>
      <c r="K176">
        <v>1.068401174989509</v>
      </c>
    </row>
    <row r="177" spans="1:11" x14ac:dyDescent="0.3">
      <c r="A177" s="1" t="str">
        <f>HYPERLINK("[.\tse_pressure_data\1702.xlsx]1702!$A268","﻿南僑            ")</f>
        <v xml:space="preserve">﻿南僑            </v>
      </c>
      <c r="B177">
        <v>0.90592783505154639</v>
      </c>
      <c r="C177">
        <v>0.93071694803771099</v>
      </c>
      <c r="D177">
        <v>0.90352992764744577</v>
      </c>
      <c r="E177">
        <v>0.86394557823129248</v>
      </c>
      <c r="F177">
        <v>0.80465401102265766</v>
      </c>
      <c r="G177">
        <v>0.72456669178598343</v>
      </c>
      <c r="H177">
        <v>0.70066641984450206</v>
      </c>
      <c r="I177">
        <v>0.67020068156001511</v>
      </c>
      <c r="J177">
        <v>0.66291291291291288</v>
      </c>
      <c r="K177">
        <v>0.64945344892574441</v>
      </c>
    </row>
    <row r="178" spans="1:11" x14ac:dyDescent="0.3">
      <c r="A178" s="1" t="str">
        <f>HYPERLINK("[.\tse_pressure_data\1704.xlsx]1704!$A268","﻿榮化            ")</f>
        <v xml:space="preserve">﻿榮化            </v>
      </c>
      <c r="B178">
        <v>1.8406414941128706</v>
      </c>
      <c r="C178">
        <v>1.7780623679323815</v>
      </c>
      <c r="D178">
        <v>1.664819944598338</v>
      </c>
      <c r="E178">
        <v>1.5382849563842269</v>
      </c>
      <c r="F178">
        <v>1.4789924186842749</v>
      </c>
      <c r="G178">
        <v>1.3737959370006847</v>
      </c>
      <c r="H178">
        <v>1.4668971639489792</v>
      </c>
      <c r="I178">
        <v>1.4132990768158857</v>
      </c>
      <c r="J178">
        <v>1.4074572281306486</v>
      </c>
      <c r="K178">
        <v>1.463108582901121</v>
      </c>
    </row>
    <row r="179" spans="1:11" x14ac:dyDescent="0.3">
      <c r="A179" s="1" t="str">
        <f>HYPERLINK("[.\tse_pressure_data\1707.xlsx]1707!$A268","﻿葡萄王          ")</f>
        <v xml:space="preserve">﻿葡萄王          </v>
      </c>
      <c r="B179">
        <v>1.0552285658230331</v>
      </c>
      <c r="C179">
        <v>0.97820254862508382</v>
      </c>
      <c r="D179">
        <v>0.90734265734265729</v>
      </c>
      <c r="E179">
        <v>0.83205931814707235</v>
      </c>
      <c r="F179">
        <v>0.87190435525192145</v>
      </c>
      <c r="G179">
        <v>0.8493369913123</v>
      </c>
      <c r="H179">
        <v>0.82449888641425395</v>
      </c>
      <c r="I179">
        <v>0.84775737507525584</v>
      </c>
      <c r="J179">
        <v>0.84964689801807269</v>
      </c>
      <c r="K179">
        <v>0.88915202444614205</v>
      </c>
    </row>
    <row r="180" spans="1:11" x14ac:dyDescent="0.3">
      <c r="A180" s="1" t="str">
        <f>HYPERLINK("[.\tse_pressure_data\1708.xlsx]1708!$A268","﻿東鹼            ")</f>
        <v xml:space="preserve">﻿東鹼            </v>
      </c>
      <c r="B180">
        <v>0.85487789285257643</v>
      </c>
      <c r="C180">
        <v>0.92850838481906439</v>
      </c>
      <c r="D180">
        <v>0.90095846645367417</v>
      </c>
      <c r="E180">
        <v>0.87085338060268425</v>
      </c>
      <c r="F180">
        <v>0.88323372129600508</v>
      </c>
      <c r="G180">
        <v>0.85185413710125257</v>
      </c>
      <c r="H180">
        <v>0.88611201035933962</v>
      </c>
      <c r="I180">
        <v>0.91467764060356649</v>
      </c>
      <c r="J180">
        <v>0.8973103448275862</v>
      </c>
      <c r="K180">
        <v>0.86892265193370166</v>
      </c>
    </row>
    <row r="181" spans="1:11" x14ac:dyDescent="0.3">
      <c r="A181" s="1" t="str">
        <f>HYPERLINK("[.\tse_pressure_data\1709.xlsx]1709!$A268","﻿和益            ")</f>
        <v xml:space="preserve">﻿和益            </v>
      </c>
      <c r="B181">
        <v>1.034588620548506</v>
      </c>
      <c r="C181">
        <v>0.90652492668621698</v>
      </c>
      <c r="D181">
        <v>0.98529920442753371</v>
      </c>
      <c r="E181">
        <v>0.88360927152317881</v>
      </c>
      <c r="F181">
        <v>0.85981153909737151</v>
      </c>
      <c r="G181">
        <v>0.93781927074158888</v>
      </c>
      <c r="H181">
        <v>0.87592867756315007</v>
      </c>
      <c r="I181">
        <v>0.88920347300868252</v>
      </c>
      <c r="J181">
        <v>0.90280985373364131</v>
      </c>
      <c r="K181">
        <v>0.92916106738337489</v>
      </c>
    </row>
    <row r="182" spans="1:11" x14ac:dyDescent="0.3">
      <c r="A182" s="1" t="str">
        <f>HYPERLINK("[.\tse_pressure_data\1710.xlsx]1710!$A268","﻿東聯            ")</f>
        <v xml:space="preserve">﻿東聯            </v>
      </c>
      <c r="B182">
        <v>1.8831081672551138</v>
      </c>
      <c r="C182">
        <v>1.8999157246229403</v>
      </c>
      <c r="D182">
        <v>1.818066192938314</v>
      </c>
      <c r="E182">
        <v>1.8417660547346713</v>
      </c>
      <c r="F182">
        <v>1.8020783627591326</v>
      </c>
      <c r="G182">
        <v>1.6611098143757448</v>
      </c>
      <c r="H182">
        <v>1.6646366170204929</v>
      </c>
      <c r="I182">
        <v>1.7014188616198564</v>
      </c>
      <c r="J182">
        <v>1.6021312841173325</v>
      </c>
      <c r="K182">
        <v>1.5724714018367272</v>
      </c>
    </row>
    <row r="183" spans="1:11" x14ac:dyDescent="0.3">
      <c r="A183" s="1" t="str">
        <f>HYPERLINK("[.\tse_pressure_data\1711.xlsx]1711!$A268","﻿永光            ")</f>
        <v xml:space="preserve">﻿永光            </v>
      </c>
      <c r="B183">
        <v>1.5380710659898478</v>
      </c>
      <c r="C183">
        <v>1.2356591747735659</v>
      </c>
      <c r="D183">
        <v>1.0662462706807703</v>
      </c>
      <c r="E183">
        <v>0.98360234068548646</v>
      </c>
      <c r="F183">
        <v>0.96070202212895839</v>
      </c>
      <c r="G183">
        <v>0.94264055590650664</v>
      </c>
      <c r="H183">
        <v>0.92608106443267213</v>
      </c>
      <c r="I183">
        <v>0.95050492457299585</v>
      </c>
      <c r="J183">
        <v>1.0060887783160928</v>
      </c>
      <c r="K183">
        <v>0.93068257123923126</v>
      </c>
    </row>
    <row r="184" spans="1:11" x14ac:dyDescent="0.3">
      <c r="A184" s="1" t="str">
        <f>HYPERLINK("[.\tse_pressure_data\1712.xlsx]1712!$A268","﻿興農            ")</f>
        <v xml:space="preserve">﻿興農            </v>
      </c>
      <c r="B184">
        <v>1.1966531440162271</v>
      </c>
      <c r="C184">
        <v>1.0239002094839078</v>
      </c>
      <c r="D184">
        <v>0.99725326766433031</v>
      </c>
      <c r="E184">
        <v>0.95658762702799072</v>
      </c>
      <c r="F184">
        <v>0.9257676203768318</v>
      </c>
      <c r="G184">
        <v>0.89244910231079799</v>
      </c>
      <c r="H184">
        <v>0.85237185345185673</v>
      </c>
      <c r="I184">
        <v>0.86934846140622313</v>
      </c>
      <c r="J184">
        <v>0.83118224057821377</v>
      </c>
      <c r="K184">
        <v>0.8344862493673022</v>
      </c>
    </row>
    <row r="185" spans="1:11" x14ac:dyDescent="0.3">
      <c r="A185" s="1" t="str">
        <f>HYPERLINK("[.\tse_pressure_data\1713.xlsx]1713!$A268","﻿國化            ")</f>
        <v xml:space="preserve">﻿國化            </v>
      </c>
      <c r="B185">
        <v>0.61662400240927573</v>
      </c>
      <c r="C185">
        <v>0.60763312716850204</v>
      </c>
      <c r="D185">
        <v>0.60669201520912552</v>
      </c>
      <c r="E185">
        <v>0.57216966737870001</v>
      </c>
      <c r="F185">
        <v>0.55082017476621181</v>
      </c>
      <c r="G185">
        <v>0.52521072796934865</v>
      </c>
      <c r="H185">
        <v>0.52155562255049748</v>
      </c>
      <c r="I185">
        <v>0.47403890335426557</v>
      </c>
      <c r="J185">
        <v>0.43209134615384615</v>
      </c>
      <c r="K185">
        <v>0.34312375707511089</v>
      </c>
    </row>
    <row r="186" spans="1:11" x14ac:dyDescent="0.3">
      <c r="A186" s="1" t="str">
        <f>HYPERLINK("[.\tse_pressure_data\1714.xlsx]1714!$A268","﻿和桐            ")</f>
        <v xml:space="preserve">﻿和桐            </v>
      </c>
      <c r="B186">
        <v>1.5649846522422699</v>
      </c>
      <c r="C186">
        <v>1.5024816143172843</v>
      </c>
      <c r="D186">
        <v>1.2700912888751354</v>
      </c>
      <c r="E186">
        <v>1.2938411768296405</v>
      </c>
      <c r="F186">
        <v>1.2100963192294463</v>
      </c>
      <c r="G186">
        <v>1.1313951944776317</v>
      </c>
      <c r="H186">
        <v>1.3635198752054374</v>
      </c>
      <c r="I186">
        <v>1.3714301436196554</v>
      </c>
      <c r="J186">
        <v>1.3980241555549211</v>
      </c>
      <c r="K186">
        <v>1.4477711244178311</v>
      </c>
    </row>
    <row r="187" spans="1:11" x14ac:dyDescent="0.3">
      <c r="A187" s="1" t="str">
        <f>HYPERLINK("[.\tse_pressure_data\1715.xlsx]1715!$A268","﻿萬洲            ")</f>
        <v xml:space="preserve">﻿萬洲            </v>
      </c>
      <c r="B187">
        <v>0.65858543997789754</v>
      </c>
      <c r="C187">
        <v>0.61309442236535561</v>
      </c>
      <c r="D187">
        <v>0.62227931206736598</v>
      </c>
      <c r="E187">
        <v>0.60811200923787534</v>
      </c>
      <c r="F187">
        <v>0.58566840181636948</v>
      </c>
      <c r="G187">
        <v>0.9979664014146773</v>
      </c>
      <c r="H187">
        <v>0.96043691407929821</v>
      </c>
      <c r="I187">
        <v>0.95120292442404153</v>
      </c>
      <c r="J187">
        <v>1.0060921772911884</v>
      </c>
      <c r="K187">
        <v>1.0804334419874901</v>
      </c>
    </row>
    <row r="188" spans="1:11" x14ac:dyDescent="0.3">
      <c r="A188" s="1" t="str">
        <f>HYPERLINK("[.\tse_pressure_data\1717.xlsx]1717!$A268","﻿長興            ")</f>
        <v xml:space="preserve">﻿長興            </v>
      </c>
      <c r="B188">
        <v>0.92171150971599403</v>
      </c>
      <c r="C188">
        <v>0.89390156918687591</v>
      </c>
      <c r="D188">
        <v>0.88147622427253369</v>
      </c>
      <c r="E188">
        <v>0.84779247551967019</v>
      </c>
      <c r="F188">
        <v>0.79586254060523165</v>
      </c>
      <c r="G188">
        <v>0.76422904449810281</v>
      </c>
      <c r="H188">
        <v>0.76378939828080228</v>
      </c>
      <c r="I188">
        <v>0.724112961622013</v>
      </c>
      <c r="J188">
        <v>0.70457875457875463</v>
      </c>
      <c r="K188">
        <v>0.72915880799698229</v>
      </c>
    </row>
    <row r="189" spans="1:11" x14ac:dyDescent="0.3">
      <c r="A189" s="1" t="str">
        <f>HYPERLINK("[.\tse_pressure_data\1718.xlsx]1718!$A268","﻿中纖            ")</f>
        <v xml:space="preserve">﻿中纖            </v>
      </c>
      <c r="B189">
        <v>1.2377434314571889</v>
      </c>
      <c r="C189">
        <v>1.2088788854825565</v>
      </c>
      <c r="D189">
        <v>1.1312048780110344</v>
      </c>
      <c r="E189">
        <v>1.1038372497692506</v>
      </c>
      <c r="F189">
        <v>1.0874815400450497</v>
      </c>
      <c r="G189">
        <v>1.0027859706478093</v>
      </c>
      <c r="H189">
        <v>1.0744029829505024</v>
      </c>
      <c r="I189">
        <v>1.0688242904214942</v>
      </c>
      <c r="J189">
        <v>1.0903386149293763</v>
      </c>
      <c r="K189">
        <v>1.0409192825112108</v>
      </c>
    </row>
    <row r="190" spans="1:11" x14ac:dyDescent="0.3">
      <c r="A190" s="1" t="str">
        <f>HYPERLINK("[.\tse_pressure_data\1720.xlsx]1720!$A268","﻿生達            ")</f>
        <v xml:space="preserve">﻿生達            </v>
      </c>
      <c r="B190">
        <v>1.1698051948051948</v>
      </c>
      <c r="C190">
        <v>1.2282537606278614</v>
      </c>
      <c r="D190">
        <v>1.1691036236490782</v>
      </c>
      <c r="E190">
        <v>1.082996580665216</v>
      </c>
      <c r="F190">
        <v>1.2501831501831502</v>
      </c>
      <c r="G190">
        <v>1.2451193058568331</v>
      </c>
      <c r="H190">
        <v>1.3708677685950412</v>
      </c>
      <c r="I190">
        <v>1.4370546318289785</v>
      </c>
      <c r="J190">
        <v>1.5048678720445063</v>
      </c>
      <c r="K190">
        <v>1.4152357165157665</v>
      </c>
    </row>
    <row r="191" spans="1:11" x14ac:dyDescent="0.3">
      <c r="A191" s="1" t="str">
        <f>HYPERLINK("[.\tse_pressure_data\1721.xlsx]1721!$A268","﻿三晃            ")</f>
        <v xml:space="preserve">﻿三晃            </v>
      </c>
      <c r="B191">
        <v>2.3116490166414523</v>
      </c>
      <c r="C191">
        <v>2.1029792746113989</v>
      </c>
      <c r="D191">
        <v>1.95079950799508</v>
      </c>
      <c r="E191">
        <v>1.9581367924528301</v>
      </c>
      <c r="F191">
        <v>1.8190639269406392</v>
      </c>
      <c r="G191">
        <v>1.8339898705683737</v>
      </c>
      <c r="H191">
        <v>1.8362350380848749</v>
      </c>
      <c r="I191">
        <v>1.3977317168556902</v>
      </c>
      <c r="J191">
        <v>1.6426148627813753</v>
      </c>
      <c r="K191">
        <v>0.86879948295362741</v>
      </c>
    </row>
    <row r="192" spans="1:11" x14ac:dyDescent="0.3">
      <c r="A192" s="1" t="str">
        <f>HYPERLINK("[.\tse_pressure_data\1722.xlsx]1722!$A268","﻿台肥            ")</f>
        <v xml:space="preserve">﻿台肥            </v>
      </c>
      <c r="B192">
        <v>0.89463976426659464</v>
      </c>
      <c r="C192">
        <v>0.83935263697841422</v>
      </c>
      <c r="D192">
        <v>0.69361283338254109</v>
      </c>
      <c r="E192">
        <v>0.71342145609745988</v>
      </c>
      <c r="F192">
        <v>0.72971948445792267</v>
      </c>
      <c r="G192">
        <v>0.71780661756108965</v>
      </c>
      <c r="H192">
        <v>0.71897413605737881</v>
      </c>
      <c r="I192">
        <v>0.62736682036691849</v>
      </c>
      <c r="J192">
        <v>0.8244125326370757</v>
      </c>
      <c r="K192">
        <v>0.80178086227780143</v>
      </c>
    </row>
    <row r="193" spans="1:11" x14ac:dyDescent="0.3">
      <c r="A193" s="1" t="str">
        <f>HYPERLINK("[.\tse_pressure_data\1723.xlsx]1723!$A268","﻿中碳            ")</f>
        <v xml:space="preserve">﻿中碳            </v>
      </c>
      <c r="B193">
        <v>0.71844091142208222</v>
      </c>
      <c r="C193">
        <v>0.70855452752919768</v>
      </c>
      <c r="D193">
        <v>0.70481123930617695</v>
      </c>
      <c r="E193">
        <v>0.60965917774721079</v>
      </c>
      <c r="F193">
        <v>0.69223329142083379</v>
      </c>
      <c r="G193">
        <v>0.6623249436881794</v>
      </c>
      <c r="H193">
        <v>0.62591240875912413</v>
      </c>
      <c r="I193">
        <v>0.58556056924678934</v>
      </c>
      <c r="J193">
        <v>0.84417779280040561</v>
      </c>
      <c r="K193">
        <v>0.9170693988014692</v>
      </c>
    </row>
    <row r="194" spans="1:11" x14ac:dyDescent="0.3">
      <c r="A194" s="1" t="str">
        <f>HYPERLINK("[.\tse_pressure_data\1724.xlsx]1724!$A268","﻿台硝            ")</f>
        <v xml:space="preserve">﻿台硝            </v>
      </c>
      <c r="B194">
        <v>0.86792452830188682</v>
      </c>
      <c r="C194">
        <v>0.99364069952305245</v>
      </c>
      <c r="D194">
        <v>0.99055118110236218</v>
      </c>
      <c r="E194">
        <v>0.96946564885496178</v>
      </c>
      <c r="F194">
        <v>0.89139633286318753</v>
      </c>
      <c r="G194">
        <v>0.88028169014084512</v>
      </c>
      <c r="H194">
        <v>0.88101983002832862</v>
      </c>
      <c r="I194">
        <v>0.871244635193133</v>
      </c>
      <c r="J194">
        <v>0.87936046511627908</v>
      </c>
      <c r="K194">
        <v>0.84961240310077524</v>
      </c>
    </row>
    <row r="195" spans="1:11" x14ac:dyDescent="0.3">
      <c r="A195" s="1" t="str">
        <f>HYPERLINK("[.\tse_pressure_data\1725.xlsx]1725!$A268","﻿元禎            ")</f>
        <v xml:space="preserve">﻿元禎            </v>
      </c>
      <c r="B195">
        <v>0.67500000000000004</v>
      </c>
      <c r="C195">
        <v>0.67511520737327191</v>
      </c>
      <c r="D195">
        <v>0.68213457076566131</v>
      </c>
      <c r="E195">
        <v>0.60080645161290325</v>
      </c>
      <c r="F195">
        <v>0.61176470588235299</v>
      </c>
      <c r="G195">
        <v>0.58237547892720309</v>
      </c>
      <c r="H195">
        <v>0.5828460038986355</v>
      </c>
      <c r="I195">
        <v>0.59019607843137256</v>
      </c>
      <c r="J195">
        <v>0.60388349514563111</v>
      </c>
      <c r="K195">
        <v>0.5685884691848907</v>
      </c>
    </row>
    <row r="196" spans="1:11" x14ac:dyDescent="0.3">
      <c r="A196" s="1" t="str">
        <f>HYPERLINK("[.\tse_pressure_data\1726.xlsx]1726!$A268","﻿永記            ")</f>
        <v xml:space="preserve">﻿永記            </v>
      </c>
      <c r="B196">
        <v>0.65659340659340659</v>
      </c>
      <c r="C196">
        <v>0.66956521739130437</v>
      </c>
      <c r="D196">
        <v>0.63172804532577909</v>
      </c>
      <c r="E196">
        <v>0.60387811634349031</v>
      </c>
      <c r="F196">
        <v>0.67222222222222228</v>
      </c>
      <c r="G196">
        <v>0.69714285714285718</v>
      </c>
      <c r="H196">
        <v>0.71965317919075145</v>
      </c>
      <c r="I196">
        <v>0.72036474164133735</v>
      </c>
      <c r="J196">
        <v>0.92481203007518797</v>
      </c>
      <c r="K196">
        <v>1.049792531120332</v>
      </c>
    </row>
    <row r="197" spans="1:11" x14ac:dyDescent="0.3">
      <c r="A197" s="1" t="str">
        <f>HYPERLINK("[.\tse_pressure_data\1727.xlsx]1727!$A268","﻿中華化          ")</f>
        <v xml:space="preserve">﻿中華化          </v>
      </c>
      <c r="B197">
        <v>1.4594037127320458</v>
      </c>
      <c r="C197">
        <v>1.5116575591985428</v>
      </c>
      <c r="D197">
        <v>1.5856567013772254</v>
      </c>
      <c r="E197">
        <v>1.4623238423928675</v>
      </c>
      <c r="F197">
        <v>1.2587570621468926</v>
      </c>
      <c r="G197">
        <v>0.96864081062194274</v>
      </c>
      <c r="H197">
        <v>0.90370665603826228</v>
      </c>
      <c r="I197">
        <v>0.9052791310598195</v>
      </c>
      <c r="J197">
        <v>0.84407843137254901</v>
      </c>
      <c r="K197">
        <v>0.82385564755506957</v>
      </c>
    </row>
    <row r="198" spans="1:11" x14ac:dyDescent="0.3">
      <c r="A198" s="1" t="str">
        <f>HYPERLINK("[.\tse_pressure_data\1729.xlsx]1729!$A268","﻿必翔            ")</f>
        <v xml:space="preserve">﻿必翔            </v>
      </c>
      <c r="B198">
        <v>4.220528455284553</v>
      </c>
      <c r="C198">
        <v>2.2811594202898551</v>
      </c>
      <c r="D198">
        <v>2.2270114942528734</v>
      </c>
      <c r="E198">
        <v>2.0390909090909091</v>
      </c>
      <c r="F198">
        <v>1.8244206773618539</v>
      </c>
      <c r="G198">
        <v>1.6903039073806079</v>
      </c>
      <c r="H198">
        <v>1.4743512371756187</v>
      </c>
      <c r="I198">
        <v>1.5355223880597015</v>
      </c>
      <c r="J198">
        <v>1.5164585698070374</v>
      </c>
      <c r="K198">
        <v>1.4927130044843049</v>
      </c>
    </row>
    <row r="199" spans="1:11" x14ac:dyDescent="0.3">
      <c r="A199" s="1" t="str">
        <f>HYPERLINK("[.\tse_pressure_data\1730.xlsx]1730!$A268","﻿花仙子          ")</f>
        <v xml:space="preserve">﻿花仙子          </v>
      </c>
      <c r="B199">
        <v>1.0074294205052006</v>
      </c>
      <c r="C199">
        <v>1.0029368575624082</v>
      </c>
      <c r="D199">
        <v>0.9139633286318759</v>
      </c>
      <c r="E199">
        <v>0.8433420365535248</v>
      </c>
      <c r="F199">
        <v>0.91105121293800539</v>
      </c>
      <c r="G199">
        <v>0.91213389121338917</v>
      </c>
      <c r="H199">
        <v>0.91038406827880514</v>
      </c>
      <c r="I199">
        <v>0.85372714486638535</v>
      </c>
      <c r="J199">
        <v>0.89413447782546496</v>
      </c>
      <c r="K199">
        <v>0.8449720670391061</v>
      </c>
    </row>
    <row r="200" spans="1:11" x14ac:dyDescent="0.3">
      <c r="A200" s="1" t="str">
        <f>HYPERLINK("[.\tse_pressure_data\1731.xlsx]1731!$A268","﻿美吾華          ")</f>
        <v xml:space="preserve">﻿美吾華          </v>
      </c>
      <c r="B200">
        <v>1.3316077077940753</v>
      </c>
      <c r="C200">
        <v>1.1099283917166634</v>
      </c>
      <c r="D200">
        <v>0.97364364981504314</v>
      </c>
      <c r="E200">
        <v>0.96963655880999844</v>
      </c>
      <c r="F200">
        <v>0.99035074283963853</v>
      </c>
      <c r="G200">
        <v>0.96252129471890968</v>
      </c>
      <c r="H200">
        <v>0.98731435643564358</v>
      </c>
      <c r="I200">
        <v>0.93198881201236572</v>
      </c>
      <c r="J200">
        <v>0.914572864321608</v>
      </c>
      <c r="K200">
        <v>0.94337507008035881</v>
      </c>
    </row>
    <row r="201" spans="1:11" x14ac:dyDescent="0.3">
      <c r="A201" s="1" t="str">
        <f>HYPERLINK("[.\tse_pressure_data\1732.xlsx]1732!$A268","﻿毛寶            ")</f>
        <v xml:space="preserve">﻿毛寶            </v>
      </c>
      <c r="B201">
        <v>1.4054054054054055</v>
      </c>
      <c r="C201">
        <v>1.2388955582232892</v>
      </c>
      <c r="D201">
        <v>1.0986214209968186</v>
      </c>
      <c r="E201">
        <v>1.04375</v>
      </c>
      <c r="F201">
        <v>1.0673684210526315</v>
      </c>
      <c r="G201">
        <v>1.0782422293676313</v>
      </c>
      <c r="H201">
        <v>1.0793650793650793</v>
      </c>
      <c r="I201">
        <v>1.0677966101694916</v>
      </c>
      <c r="J201">
        <v>1.0605095541401275</v>
      </c>
      <c r="K201">
        <v>1.2216035634743876</v>
      </c>
    </row>
    <row r="202" spans="1:11" x14ac:dyDescent="0.3">
      <c r="A202" s="1" t="str">
        <f>HYPERLINK("[.\tse_pressure_data\1733.xlsx]1733!$A268","﻿五鼎            ")</f>
        <v xml:space="preserve">﻿五鼎            </v>
      </c>
      <c r="B202">
        <v>1.6286601597160604</v>
      </c>
      <c r="C202">
        <v>1.5315512708150745</v>
      </c>
      <c r="D202">
        <v>1.4094623655913978</v>
      </c>
      <c r="E202">
        <v>1.2707477403451108</v>
      </c>
      <c r="F202">
        <v>1.2350287120590648</v>
      </c>
      <c r="G202">
        <v>1.2138992925509779</v>
      </c>
      <c r="H202">
        <v>1.2466044142614601</v>
      </c>
      <c r="I202">
        <v>1.1412546738678853</v>
      </c>
      <c r="J202">
        <v>1.1528309919114517</v>
      </c>
      <c r="K202">
        <v>1.1437908496732025</v>
      </c>
    </row>
    <row r="203" spans="1:11" x14ac:dyDescent="0.3">
      <c r="A203" s="1" t="str">
        <f>HYPERLINK("[.\tse_pressure_data\1734.xlsx]1734!$A268","﻿杏輝            ")</f>
        <v xml:space="preserve">﻿杏輝            </v>
      </c>
      <c r="B203">
        <v>0.81421143847486999</v>
      </c>
      <c r="C203">
        <v>0.81431064572425826</v>
      </c>
      <c r="D203">
        <v>0.76833720544308004</v>
      </c>
      <c r="E203">
        <v>0.77758561051539254</v>
      </c>
      <c r="F203">
        <v>0.77039067854694998</v>
      </c>
      <c r="G203">
        <v>0.75593220338983047</v>
      </c>
      <c r="H203">
        <v>0.7528813559322034</v>
      </c>
      <c r="I203">
        <v>0.74973674973674975</v>
      </c>
      <c r="J203">
        <v>0.83486640385457733</v>
      </c>
      <c r="K203">
        <v>0.83920505871725382</v>
      </c>
    </row>
    <row r="204" spans="1:11" x14ac:dyDescent="0.3">
      <c r="A204" s="1" t="str">
        <f>HYPERLINK("[.\tse_pressure_data\1735.xlsx]1735!$A268","﻿日勝化          ")</f>
        <v xml:space="preserve">﻿日勝化          </v>
      </c>
      <c r="B204">
        <v>1.4491193737769079</v>
      </c>
      <c r="C204">
        <v>1.6604255319148937</v>
      </c>
      <c r="D204">
        <v>1.1480491715660075</v>
      </c>
      <c r="E204">
        <v>1.0901717557251909</v>
      </c>
      <c r="F204">
        <v>1.0442400350416119</v>
      </c>
      <c r="G204">
        <v>1.0453222453222453</v>
      </c>
      <c r="H204">
        <v>0.99691714836223511</v>
      </c>
      <c r="I204">
        <v>1.0973724884080371</v>
      </c>
      <c r="J204">
        <v>1.0839524517087666</v>
      </c>
      <c r="K204">
        <v>1.113986013986014</v>
      </c>
    </row>
    <row r="205" spans="1:11" x14ac:dyDescent="0.3">
      <c r="A205" s="1" t="str">
        <f>HYPERLINK("[.\tse_pressure_data\1736.xlsx]1736!$A268","﻿喬山            ")</f>
        <v xml:space="preserve">﻿喬山            </v>
      </c>
      <c r="B205">
        <v>0.97548291233283801</v>
      </c>
      <c r="C205">
        <v>1.0786092214663643</v>
      </c>
      <c r="D205">
        <v>1.0692015209125476</v>
      </c>
      <c r="E205">
        <v>0.99631268436578169</v>
      </c>
      <c r="F205">
        <v>0.98677443056576042</v>
      </c>
      <c r="G205">
        <v>0.98817442719881743</v>
      </c>
      <c r="H205">
        <v>0.96924177396280398</v>
      </c>
      <c r="I205">
        <v>0.97237960339943341</v>
      </c>
      <c r="J205">
        <v>1.0021613832853027</v>
      </c>
      <c r="K205">
        <v>1.0476539589442815</v>
      </c>
    </row>
    <row r="206" spans="1:11" x14ac:dyDescent="0.3">
      <c r="A206" s="1" t="str">
        <f>HYPERLINK("[.\tse_pressure_data\1737.xlsx]1737!$A268","﻿臺鹽            ")</f>
        <v xml:space="preserve">﻿臺鹽            </v>
      </c>
      <c r="B206">
        <v>1.1400220507166483</v>
      </c>
      <c r="C206">
        <v>1.1058761249338274</v>
      </c>
      <c r="D206">
        <v>0.9984607491021037</v>
      </c>
      <c r="E206">
        <v>0.96061381074168795</v>
      </c>
      <c r="F206">
        <v>1.0202450719232818</v>
      </c>
      <c r="G206">
        <v>0.97900262467191601</v>
      </c>
      <c r="H206">
        <v>1.0222101841820153</v>
      </c>
      <c r="I206">
        <v>0.95704187058183798</v>
      </c>
      <c r="J206">
        <v>1.0042918454935623</v>
      </c>
      <c r="K206">
        <v>0.98483891345546426</v>
      </c>
    </row>
    <row r="207" spans="1:11" x14ac:dyDescent="0.3">
      <c r="A207" s="1" t="str">
        <f>HYPERLINK("[.\tse_pressure_data\1762.xlsx]1762!$A268","﻿中化生          ")</f>
        <v xml:space="preserve">﻿中化生          </v>
      </c>
      <c r="B207">
        <v>0.76555209953343706</v>
      </c>
      <c r="C207">
        <v>0.7557549746390948</v>
      </c>
      <c r="D207">
        <v>0.73994533385396333</v>
      </c>
      <c r="E207">
        <v>0.73707239459029439</v>
      </c>
      <c r="F207">
        <v>0.73519999999999996</v>
      </c>
      <c r="G207">
        <v>0.65777954635893354</v>
      </c>
      <c r="H207">
        <v>0.68773234200743494</v>
      </c>
      <c r="I207">
        <v>0.70915169243627241</v>
      </c>
      <c r="J207">
        <v>0.68236266005782731</v>
      </c>
      <c r="K207">
        <v>0.64784608950230027</v>
      </c>
    </row>
    <row r="208" spans="1:11" x14ac:dyDescent="0.3">
      <c r="A208" s="1" t="str">
        <f>HYPERLINK("[.\tse_pressure_data\1773.xlsx]1773!$A268","﻿勝一            ")</f>
        <v xml:space="preserve">﻿勝一            </v>
      </c>
      <c r="B208">
        <v>0.71040189125295505</v>
      </c>
      <c r="C208">
        <v>0.70747372518489682</v>
      </c>
      <c r="D208">
        <v>0.72334682860998656</v>
      </c>
      <c r="E208">
        <v>0.63759555246699096</v>
      </c>
      <c r="F208">
        <v>0.60280131419678362</v>
      </c>
      <c r="G208">
        <v>0.58010856242339348</v>
      </c>
      <c r="H208">
        <v>0.5145457790469391</v>
      </c>
      <c r="I208">
        <v>0.56756198347107434</v>
      </c>
      <c r="J208">
        <v>0.57035053554040893</v>
      </c>
      <c r="K208">
        <v>0.57436424351399951</v>
      </c>
    </row>
    <row r="209" spans="1:11" x14ac:dyDescent="0.3">
      <c r="A209" s="1" t="str">
        <f>HYPERLINK("[.\tse_pressure_data\1776.xlsx]1776!$A268","﻿展宇            ")</f>
        <v xml:space="preserve">﻿展宇            </v>
      </c>
      <c r="B209">
        <v>0.97342192691029905</v>
      </c>
      <c r="C209">
        <v>0.94426229508196724</v>
      </c>
      <c r="D209">
        <v>0.94333333333333336</v>
      </c>
      <c r="E209">
        <v>0.82507288629737607</v>
      </c>
      <c r="F209">
        <v>0.84</v>
      </c>
      <c r="G209">
        <v>0.8404907975460123</v>
      </c>
      <c r="H209">
        <v>0.86261980830670926</v>
      </c>
      <c r="I209">
        <v>0.82736156351791534</v>
      </c>
      <c r="J209">
        <v>0.82950819672131149</v>
      </c>
      <c r="K209">
        <v>0.81372549019607843</v>
      </c>
    </row>
    <row r="210" spans="1:11" x14ac:dyDescent="0.3">
      <c r="A210" s="1" t="str">
        <f>HYPERLINK("[.\tse_pressure_data\1783.xlsx]1783!$A268","﻿和康生          ")</f>
        <v xml:space="preserve">﻿和康生          </v>
      </c>
      <c r="B210">
        <v>1.615473441108545</v>
      </c>
      <c r="C210">
        <v>1.5909617612977984</v>
      </c>
      <c r="D210">
        <v>1.3639240506329113</v>
      </c>
      <c r="E210">
        <v>1.2020872865275143</v>
      </c>
      <c r="F210">
        <v>1.213691026827012</v>
      </c>
      <c r="G210">
        <v>1.158578856152513</v>
      </c>
      <c r="H210">
        <v>1.2042735042735042</v>
      </c>
      <c r="I210">
        <v>1.1881443298969072</v>
      </c>
      <c r="J210">
        <v>1.1478933791917454</v>
      </c>
      <c r="K210">
        <v>1.1545454545454545</v>
      </c>
    </row>
    <row r="211" spans="1:11" x14ac:dyDescent="0.3">
      <c r="A211" s="1" t="str">
        <f>HYPERLINK("[.\tse_pressure_data\1786.xlsx]1786!$A268","﻿科妍            ")</f>
        <v xml:space="preserve">﻿科妍            </v>
      </c>
      <c r="B211">
        <v>0.48547589616810877</v>
      </c>
      <c r="C211">
        <v>0.47071384990848081</v>
      </c>
      <c r="D211">
        <v>0.46411338962605547</v>
      </c>
      <c r="E211">
        <v>0.44059841595775889</v>
      </c>
      <c r="F211">
        <v>0.46140142517814725</v>
      </c>
      <c r="G211">
        <v>0.46727864968907312</v>
      </c>
      <c r="H211">
        <v>0.47023985786200773</v>
      </c>
      <c r="I211">
        <v>0.48521946849805914</v>
      </c>
      <c r="J211">
        <v>0.47905604719764011</v>
      </c>
      <c r="K211">
        <v>0.4800826202419593</v>
      </c>
    </row>
    <row r="212" spans="1:11" x14ac:dyDescent="0.3">
      <c r="A212" s="1" t="str">
        <f>HYPERLINK("[.\tse_pressure_data\1789.xlsx]1789!$A268","﻿神隆            ")</f>
        <v xml:space="preserve">﻿神隆            </v>
      </c>
      <c r="B212">
        <v>1.225387633102933</v>
      </c>
      <c r="C212">
        <v>1.2908098625864926</v>
      </c>
      <c r="D212">
        <v>1.1925884853525552</v>
      </c>
      <c r="E212">
        <v>1.1179804673875131</v>
      </c>
      <c r="F212">
        <v>1.1056166056166057</v>
      </c>
      <c r="G212">
        <v>1.1242513631894162</v>
      </c>
      <c r="H212">
        <v>1.1031021072623677</v>
      </c>
      <c r="I212">
        <v>1.1108261586371131</v>
      </c>
      <c r="J212">
        <v>1.025724605761607</v>
      </c>
      <c r="K212">
        <v>0.98701748312272808</v>
      </c>
    </row>
    <row r="213" spans="1:11" x14ac:dyDescent="0.3">
      <c r="A213" s="1" t="str">
        <f>HYPERLINK("[.\tse_pressure_data\1802.xlsx]1802!$A268","﻿台玻            ")</f>
        <v xml:space="preserve">﻿台玻            </v>
      </c>
      <c r="B213">
        <v>1.5949502069439172</v>
      </c>
      <c r="C213">
        <v>1.7112051413699698</v>
      </c>
      <c r="D213">
        <v>1.6836211243848576</v>
      </c>
      <c r="E213">
        <v>1.5902881170137924</v>
      </c>
      <c r="F213">
        <v>1.0314091680814941</v>
      </c>
      <c r="G213">
        <v>0.95902080881032659</v>
      </c>
      <c r="H213">
        <v>0.98871789939405597</v>
      </c>
      <c r="I213">
        <v>0.95561758674580155</v>
      </c>
      <c r="J213">
        <v>0.9556219218275176</v>
      </c>
      <c r="K213">
        <v>0.862011376413784</v>
      </c>
    </row>
    <row r="214" spans="1:11" x14ac:dyDescent="0.3">
      <c r="A214" s="1" t="str">
        <f>HYPERLINK("[.\tse_pressure_data\1805.xlsx]1805!$A268","﻿寶徠            ")</f>
        <v xml:space="preserve">﻿寶徠            </v>
      </c>
      <c r="B214">
        <v>0.98793565683646112</v>
      </c>
      <c r="C214">
        <v>1.0093457943925233</v>
      </c>
      <c r="D214">
        <v>1.1595006934812759</v>
      </c>
      <c r="E214">
        <v>1.140495867768595</v>
      </c>
      <c r="F214">
        <v>1.1951393852751966</v>
      </c>
      <c r="G214">
        <v>1.129842180774749</v>
      </c>
      <c r="H214">
        <v>1.1428571428571428</v>
      </c>
      <c r="I214">
        <v>1.1655119322555811</v>
      </c>
      <c r="J214">
        <v>1.13389441469013</v>
      </c>
      <c r="K214">
        <v>1.1391304347826088</v>
      </c>
    </row>
    <row r="215" spans="1:11" x14ac:dyDescent="0.3">
      <c r="A215" s="1" t="str">
        <f>HYPERLINK("[.\tse_pressure_data\1806.xlsx]1806!$A268","﻿冠軍            ")</f>
        <v xml:space="preserve">﻿冠軍            </v>
      </c>
      <c r="B215">
        <v>0.88717659587796782</v>
      </c>
      <c r="C215">
        <v>0.83847882659096284</v>
      </c>
      <c r="D215">
        <v>0.80970773044330435</v>
      </c>
      <c r="E215">
        <v>0.79821841348593336</v>
      </c>
      <c r="F215">
        <v>0.7678689245656477</v>
      </c>
      <c r="G215">
        <v>0.73319954439442425</v>
      </c>
      <c r="H215">
        <v>0.77174634794156705</v>
      </c>
      <c r="I215">
        <v>0.79383333333333328</v>
      </c>
      <c r="J215">
        <v>0.77483627483627482</v>
      </c>
      <c r="K215">
        <v>0.76136867790594498</v>
      </c>
    </row>
    <row r="216" spans="1:11" x14ac:dyDescent="0.3">
      <c r="A216" s="1" t="str">
        <f>HYPERLINK("[.\tse_pressure_data\1808.xlsx]1808!$A268","﻿潤隆            ")</f>
        <v xml:space="preserve">﻿潤隆            </v>
      </c>
      <c r="B216">
        <v>0.92854780019847838</v>
      </c>
      <c r="C216">
        <v>0.94244920373421193</v>
      </c>
      <c r="D216">
        <v>0.81735931596738909</v>
      </c>
      <c r="E216">
        <v>0.76017414347908385</v>
      </c>
      <c r="F216">
        <v>0.79324936036213345</v>
      </c>
      <c r="G216">
        <v>0.59190643759056094</v>
      </c>
      <c r="H216">
        <v>0.41974326933999773</v>
      </c>
      <c r="I216">
        <v>0.75019260400616328</v>
      </c>
      <c r="J216">
        <v>0.76576955424726656</v>
      </c>
      <c r="K216">
        <v>0.68418948630821508</v>
      </c>
    </row>
    <row r="217" spans="1:11" x14ac:dyDescent="0.3">
      <c r="A217" s="1" t="str">
        <f>HYPERLINK("[.\tse_pressure_data\1809.xlsx]1809!$A268","﻿中釉            ")</f>
        <v xml:space="preserve">﻿中釉            </v>
      </c>
      <c r="B217">
        <v>2.1915005246589718</v>
      </c>
      <c r="C217">
        <v>1.0861090909090909</v>
      </c>
      <c r="D217">
        <v>1.0242500700869077</v>
      </c>
      <c r="E217">
        <v>1.0132170978627673</v>
      </c>
      <c r="F217">
        <v>1.0078619634036039</v>
      </c>
      <c r="G217">
        <v>0.93083079268292679</v>
      </c>
      <c r="H217">
        <v>0.95592205657941076</v>
      </c>
      <c r="I217">
        <v>0.91354052967197108</v>
      </c>
      <c r="J217">
        <v>0.91815028901734108</v>
      </c>
      <c r="K217">
        <v>0.91227461858529824</v>
      </c>
    </row>
    <row r="218" spans="1:11" x14ac:dyDescent="0.3">
      <c r="A218" s="1" t="str">
        <f>HYPERLINK("[.\tse_pressure_data\1810.xlsx]1810!$A268","﻿和成            ")</f>
        <v xml:space="preserve">﻿和成            </v>
      </c>
      <c r="B218">
        <v>1.0016507098052163</v>
      </c>
      <c r="C218">
        <v>0.99912357581069233</v>
      </c>
      <c r="D218">
        <v>0.96084879805810042</v>
      </c>
      <c r="E218">
        <v>0.94646811760213823</v>
      </c>
      <c r="F218">
        <v>0.91072822236897399</v>
      </c>
      <c r="G218">
        <v>0.89160524896638504</v>
      </c>
      <c r="H218">
        <v>0.9177234391117044</v>
      </c>
      <c r="I218">
        <v>0.90875107243534747</v>
      </c>
      <c r="J218">
        <v>0.96785182031083672</v>
      </c>
      <c r="K218">
        <v>0.95014496853122132</v>
      </c>
    </row>
    <row r="219" spans="1:11" x14ac:dyDescent="0.3">
      <c r="A219" s="1" t="str">
        <f>HYPERLINK("[.\tse_pressure_data\1817.xlsx]1817!$A268","﻿凱撒衛          ")</f>
        <v xml:space="preserve">﻿凱撒衛          </v>
      </c>
      <c r="B219">
        <v>1.5722627737226278</v>
      </c>
      <c r="C219">
        <v>1.6152158010241404</v>
      </c>
      <c r="D219">
        <v>1.5416974169741697</v>
      </c>
      <c r="E219">
        <v>1.5498127340823971</v>
      </c>
      <c r="F219">
        <v>1.3779741672331747</v>
      </c>
      <c r="G219">
        <v>1.3522504892367906</v>
      </c>
      <c r="H219">
        <v>1.1995399654974124</v>
      </c>
      <c r="I219">
        <v>1.1797878280290341</v>
      </c>
      <c r="J219">
        <v>1.1517904863709247</v>
      </c>
      <c r="K219">
        <v>1.152037617554859</v>
      </c>
    </row>
    <row r="220" spans="1:11" x14ac:dyDescent="0.3">
      <c r="A220" s="1" t="str">
        <f>HYPERLINK("[.\tse_pressure_data\1902.xlsx]1902!$A268","﻿台紙            ")</f>
        <v xml:space="preserve">﻿台紙            </v>
      </c>
      <c r="B220">
        <v>0.92804286807859149</v>
      </c>
      <c r="C220">
        <v>0.92844455721898</v>
      </c>
      <c r="D220">
        <v>0.97498723838693213</v>
      </c>
      <c r="E220">
        <v>0.91736043095004893</v>
      </c>
      <c r="F220">
        <v>1.1397539911018058</v>
      </c>
      <c r="G220">
        <v>0.69263300346781698</v>
      </c>
      <c r="H220">
        <v>0.64250356573538048</v>
      </c>
      <c r="I220">
        <v>0.73186330660557464</v>
      </c>
      <c r="J220">
        <v>0.71899736147757254</v>
      </c>
      <c r="K220">
        <v>0.73026442771665701</v>
      </c>
    </row>
    <row r="221" spans="1:11" x14ac:dyDescent="0.3">
      <c r="A221" s="1" t="str">
        <f>HYPERLINK("[.\tse_pressure_data\1903.xlsx]1903!$A268","﻿士紙            ")</f>
        <v xml:space="preserve">﻿士紙            </v>
      </c>
      <c r="B221">
        <v>0.5728496196606202</v>
      </c>
      <c r="C221">
        <v>0.54535211267605632</v>
      </c>
      <c r="D221">
        <v>0.5533123028391167</v>
      </c>
      <c r="E221">
        <v>0.68256130790190739</v>
      </c>
      <c r="F221">
        <v>0.55310504933255944</v>
      </c>
      <c r="G221">
        <v>0.56800479328939479</v>
      </c>
      <c r="H221">
        <v>0.59808038392321539</v>
      </c>
      <c r="I221">
        <v>0.57068667051356026</v>
      </c>
      <c r="J221">
        <v>0.57406340057636884</v>
      </c>
      <c r="K221">
        <v>0.54918032786885251</v>
      </c>
    </row>
    <row r="222" spans="1:11" x14ac:dyDescent="0.3">
      <c r="A222" s="1" t="str">
        <f>HYPERLINK("[.\tse_pressure_data\1904.xlsx]1904!$A268","﻿正隆            ")</f>
        <v xml:space="preserve">﻿正隆            </v>
      </c>
      <c r="B222">
        <v>1.2440505030353122</v>
      </c>
      <c r="C222">
        <v>1.225035360678925</v>
      </c>
      <c r="D222">
        <v>1.1736213567909139</v>
      </c>
      <c r="E222">
        <v>1.2033569149674019</v>
      </c>
      <c r="F222">
        <v>1.1720197151058875</v>
      </c>
      <c r="G222">
        <v>1.0604402198699023</v>
      </c>
      <c r="H222">
        <v>1.0989087301587301</v>
      </c>
      <c r="I222">
        <v>1.0755061234691328</v>
      </c>
      <c r="J222">
        <v>1.0109413078797724</v>
      </c>
      <c r="K222">
        <v>0.93564344005021971</v>
      </c>
    </row>
    <row r="223" spans="1:11" x14ac:dyDescent="0.3">
      <c r="A223" s="1" t="str">
        <f>HYPERLINK("[.\tse_pressure_data\1905.xlsx]1905!$A268","﻿華紙            ")</f>
        <v xml:space="preserve">﻿華紙            </v>
      </c>
      <c r="B223">
        <v>0.99160564386497585</v>
      </c>
      <c r="C223">
        <v>1.016825220119421</v>
      </c>
      <c r="D223">
        <v>0.99844506307526393</v>
      </c>
      <c r="E223">
        <v>0.97282270047452424</v>
      </c>
      <c r="F223">
        <v>0.92277590441696844</v>
      </c>
      <c r="G223">
        <v>0.80960600775883551</v>
      </c>
      <c r="H223">
        <v>0.81150429747905206</v>
      </c>
      <c r="I223">
        <v>0.83041564395399314</v>
      </c>
      <c r="J223">
        <v>0.84492811501597442</v>
      </c>
      <c r="K223">
        <v>0.86067106169438157</v>
      </c>
    </row>
    <row r="224" spans="1:11" x14ac:dyDescent="0.3">
      <c r="A224" s="1" t="str">
        <f>HYPERLINK("[.\tse_pressure_data\1906.xlsx]1906!$A268","﻿寶隆            ")</f>
        <v xml:space="preserve">﻿寶隆            </v>
      </c>
      <c r="B224">
        <v>1.4825790949138966</v>
      </c>
      <c r="C224">
        <v>1.5866346538615446</v>
      </c>
      <c r="D224">
        <v>1.5250089960417417</v>
      </c>
      <c r="E224">
        <v>1.3832671957671958</v>
      </c>
      <c r="F224">
        <v>1.4943126421839454</v>
      </c>
      <c r="G224">
        <v>1.3809805079740107</v>
      </c>
      <c r="H224">
        <v>1.4384402824685294</v>
      </c>
      <c r="I224">
        <v>1.3752260397830018</v>
      </c>
      <c r="J224">
        <v>1.1819429198682767</v>
      </c>
      <c r="K224">
        <v>1.0478445053575878</v>
      </c>
    </row>
    <row r="225" spans="1:11" x14ac:dyDescent="0.3">
      <c r="A225" s="1" t="str">
        <f>HYPERLINK("[.\tse_pressure_data\1907.xlsx]1907!$A268","﻿永豐餘          ")</f>
        <v xml:space="preserve">﻿永豐餘          </v>
      </c>
      <c r="B225">
        <v>1.2188436549777963</v>
      </c>
      <c r="C225">
        <v>1.312100031770526</v>
      </c>
      <c r="D225">
        <v>1.1027893254660051</v>
      </c>
      <c r="E225">
        <v>1.1386217020125933</v>
      </c>
      <c r="F225">
        <v>1.041846225520374</v>
      </c>
      <c r="G225">
        <v>0.79317822849549979</v>
      </c>
      <c r="H225">
        <v>0.78682409869324699</v>
      </c>
      <c r="I225">
        <v>0.78006877245011441</v>
      </c>
      <c r="J225">
        <v>0.81753797913175108</v>
      </c>
      <c r="K225">
        <v>0.80157276022093538</v>
      </c>
    </row>
    <row r="226" spans="1:11" x14ac:dyDescent="0.3">
      <c r="A226" s="1" t="str">
        <f>HYPERLINK("[.\tse_pressure_data\1909.xlsx]1909!$A268","﻿榮成            ")</f>
        <v xml:space="preserve">﻿榮成            </v>
      </c>
      <c r="B226">
        <v>2.3182490051165434</v>
      </c>
      <c r="C226">
        <v>2.3385088144913473</v>
      </c>
      <c r="D226">
        <v>2.498443125425708</v>
      </c>
      <c r="E226">
        <v>2.1517936226749335</v>
      </c>
      <c r="F226">
        <v>2.1243281592638774</v>
      </c>
      <c r="G226">
        <v>1.8003435029918002</v>
      </c>
      <c r="H226">
        <v>1.803444631898997</v>
      </c>
      <c r="I226">
        <v>1.8213378014571606</v>
      </c>
      <c r="J226">
        <v>1.7084479232776251</v>
      </c>
      <c r="K226">
        <v>1.5176922008472811</v>
      </c>
    </row>
    <row r="227" spans="1:11" x14ac:dyDescent="0.3">
      <c r="A227" s="1" t="str">
        <f>HYPERLINK("[.\tse_pressure_data\2002.xlsx]2002!$A268","﻿中鋼            ")</f>
        <v xml:space="preserve">﻿中鋼            </v>
      </c>
      <c r="B227">
        <v>0.81150622005696449</v>
      </c>
      <c r="C227">
        <v>0.74239978858151412</v>
      </c>
      <c r="D227">
        <v>0.72031172040200531</v>
      </c>
      <c r="E227">
        <v>0.7156787370290959</v>
      </c>
      <c r="F227">
        <v>0.67823357053160316</v>
      </c>
      <c r="G227">
        <v>0.63631937024062324</v>
      </c>
      <c r="H227">
        <v>0.62835949550857451</v>
      </c>
      <c r="I227">
        <v>0.62298051480535444</v>
      </c>
      <c r="J227">
        <v>0.58371628053140467</v>
      </c>
      <c r="K227">
        <v>0.56991947591101411</v>
      </c>
    </row>
    <row r="228" spans="1:11" x14ac:dyDescent="0.3">
      <c r="A228" s="1" t="str">
        <f>HYPERLINK("[.\tse_pressure_data\2002A.xlsx]2002A!$A268","﻿中鋼特          ")</f>
        <v xml:space="preserve">﻿中鋼特          </v>
      </c>
      <c r="B228">
        <v>1.956043956043956</v>
      </c>
      <c r="C228">
        <v>2.5079365079365079</v>
      </c>
      <c r="D228">
        <v>0.46853146853146854</v>
      </c>
      <c r="E228">
        <v>0.60064935064935066</v>
      </c>
      <c r="F228">
        <v>0.5865102639296188</v>
      </c>
      <c r="G228">
        <v>0.95870206489675514</v>
      </c>
      <c r="H228">
        <v>0.91329479768786126</v>
      </c>
      <c r="I228">
        <v>0.87390029325513197</v>
      </c>
      <c r="J228">
        <v>1.0119402985074626</v>
      </c>
      <c r="K228">
        <v>0.96551724137931039</v>
      </c>
    </row>
    <row r="229" spans="1:11" x14ac:dyDescent="0.3">
      <c r="A229" s="1" t="str">
        <f>HYPERLINK("[.\tse_pressure_data\2006.xlsx]2006!$A268","﻿東鋼            ")</f>
        <v xml:space="preserve">﻿東鋼            </v>
      </c>
      <c r="B229">
        <v>0.73634572526727171</v>
      </c>
      <c r="C229">
        <v>0.81260894828588026</v>
      </c>
      <c r="D229">
        <v>0.77501218620521573</v>
      </c>
      <c r="E229">
        <v>0.79160018064127657</v>
      </c>
      <c r="F229">
        <v>0.78318925169318865</v>
      </c>
      <c r="G229">
        <v>0.72250189969604861</v>
      </c>
      <c r="H229">
        <v>0.68518965933800435</v>
      </c>
      <c r="I229">
        <v>0.67322652445071296</v>
      </c>
      <c r="J229">
        <v>0.65105906181990558</v>
      </c>
      <c r="K229">
        <v>0.6435144468993329</v>
      </c>
    </row>
    <row r="230" spans="1:11" x14ac:dyDescent="0.3">
      <c r="A230" s="1" t="str">
        <f>HYPERLINK("[.\tse_pressure_data\2007.xlsx]2007!$A268","﻿燁興            ")</f>
        <v xml:space="preserve">﻿燁興            </v>
      </c>
      <c r="B230">
        <v>0.7487216946676406</v>
      </c>
      <c r="C230">
        <v>0.79598334557923101</v>
      </c>
      <c r="D230">
        <v>0.72622875516766194</v>
      </c>
      <c r="E230">
        <v>0.7094765967258474</v>
      </c>
      <c r="F230">
        <v>0.68338205531819207</v>
      </c>
      <c r="G230">
        <v>0.63579038921504671</v>
      </c>
      <c r="H230">
        <v>0.64864864864864868</v>
      </c>
      <c r="I230">
        <v>0.63898601398601396</v>
      </c>
      <c r="J230">
        <v>0.65673792937785247</v>
      </c>
      <c r="K230">
        <v>0.66393837265286471</v>
      </c>
    </row>
    <row r="231" spans="1:11" x14ac:dyDescent="0.3">
      <c r="A231" s="1" t="str">
        <f>HYPERLINK("[.\tse_pressure_data\2008.xlsx]2008!$A268","﻿高興昌          ")</f>
        <v xml:space="preserve">﻿高興昌          </v>
      </c>
      <c r="B231">
        <v>0.89080459770114939</v>
      </c>
      <c r="C231">
        <v>0.85819921705089164</v>
      </c>
      <c r="D231">
        <v>0.8545454545454545</v>
      </c>
      <c r="E231">
        <v>0.83525887890457851</v>
      </c>
      <c r="F231">
        <v>0.82811176968670619</v>
      </c>
      <c r="G231">
        <v>0.80698689956331882</v>
      </c>
      <c r="H231">
        <v>0.83820415078356625</v>
      </c>
      <c r="I231">
        <v>0.82083862770012705</v>
      </c>
      <c r="J231">
        <v>0.80239520958083832</v>
      </c>
      <c r="K231">
        <v>0.8120835184362506</v>
      </c>
    </row>
    <row r="232" spans="1:11" x14ac:dyDescent="0.3">
      <c r="A232" s="1" t="str">
        <f>HYPERLINK("[.\tse_pressure_data\2009.xlsx]2009!$A268","﻿第一銅          ")</f>
        <v xml:space="preserve">﻿第一銅          </v>
      </c>
      <c r="B232">
        <v>1.0717834049861112</v>
      </c>
      <c r="C232">
        <v>1.1433880775132126</v>
      </c>
      <c r="D232">
        <v>0.95695781196340357</v>
      </c>
      <c r="E232">
        <v>0.7654551738244193</v>
      </c>
      <c r="F232">
        <v>0.71949529903789766</v>
      </c>
      <c r="G232">
        <v>0.67967035399629372</v>
      </c>
      <c r="H232">
        <v>0.68468653780637534</v>
      </c>
      <c r="I232">
        <v>0.68999384115419393</v>
      </c>
      <c r="J232">
        <v>0.65975819238900635</v>
      </c>
      <c r="K232">
        <v>0.63593062455057037</v>
      </c>
    </row>
    <row r="233" spans="1:11" x14ac:dyDescent="0.3">
      <c r="A233" s="1" t="str">
        <f>HYPERLINK("[.\tse_pressure_data\2010.xlsx]2010!$A268","﻿春源            ")</f>
        <v xml:space="preserve">﻿春源            </v>
      </c>
      <c r="B233">
        <v>1.3520167627029858</v>
      </c>
      <c r="C233">
        <v>1.4201123021949975</v>
      </c>
      <c r="D233">
        <v>0.98113207547169812</v>
      </c>
      <c r="E233">
        <v>0.95734367426078526</v>
      </c>
      <c r="F233">
        <v>0.92910507073597204</v>
      </c>
      <c r="G233">
        <v>0.87255362454986696</v>
      </c>
      <c r="H233">
        <v>0.95990722332670642</v>
      </c>
      <c r="I233">
        <v>0.93700916230366493</v>
      </c>
      <c r="J233">
        <v>0.93666721500246752</v>
      </c>
      <c r="K233">
        <v>0.87003133762163942</v>
      </c>
    </row>
    <row r="234" spans="1:11" x14ac:dyDescent="0.3">
      <c r="A234" s="1" t="str">
        <f>HYPERLINK("[.\tse_pressure_data\2012.xlsx]2012!$A268","﻿春雨            ")</f>
        <v xml:space="preserve">﻿春雨            </v>
      </c>
      <c r="B234">
        <v>0.74009178139340848</v>
      </c>
      <c r="C234">
        <v>0.71642378889326508</v>
      </c>
      <c r="D234">
        <v>0.68102796674225241</v>
      </c>
      <c r="E234">
        <v>0.67486752460257382</v>
      </c>
      <c r="F234">
        <v>0.70449438202247194</v>
      </c>
      <c r="G234">
        <v>0.55650224215246635</v>
      </c>
      <c r="H234">
        <v>0.58823529411764708</v>
      </c>
      <c r="I234">
        <v>0.57563218390804594</v>
      </c>
      <c r="J234">
        <v>0.59611035730438711</v>
      </c>
      <c r="K234">
        <v>0.62067415730337083</v>
      </c>
    </row>
    <row r="235" spans="1:11" x14ac:dyDescent="0.3">
      <c r="A235" s="1" t="str">
        <f>HYPERLINK("[.\tse_pressure_data\2013.xlsx]2013!$A268","﻿中鋼構          ")</f>
        <v xml:space="preserve">﻿中鋼構          </v>
      </c>
      <c r="B235">
        <v>0.74727060376783627</v>
      </c>
      <c r="C235">
        <v>0.75975105960620204</v>
      </c>
      <c r="D235">
        <v>0.74507612051527738</v>
      </c>
      <c r="E235">
        <v>0.72470987229081663</v>
      </c>
      <c r="F235">
        <v>0.70904567829354792</v>
      </c>
      <c r="G235">
        <v>0.6924337892525998</v>
      </c>
      <c r="H235">
        <v>0.6804834147595783</v>
      </c>
      <c r="I235">
        <v>0.64525584983286188</v>
      </c>
      <c r="J235">
        <v>0.61118044721788867</v>
      </c>
      <c r="K235">
        <v>0.59826417141307298</v>
      </c>
    </row>
    <row r="236" spans="1:11" x14ac:dyDescent="0.3">
      <c r="A236" s="1" t="str">
        <f>HYPERLINK("[.\tse_pressure_data\2014.xlsx]2014!$A268","﻿中鴻            ")</f>
        <v xml:space="preserve">﻿中鴻            </v>
      </c>
      <c r="B236">
        <v>0.95034803937228673</v>
      </c>
      <c r="C236">
        <v>0.97983215353265696</v>
      </c>
      <c r="D236">
        <v>0.8722595133813914</v>
      </c>
      <c r="E236">
        <v>0.84769654564819252</v>
      </c>
      <c r="F236">
        <v>0.93567501059671265</v>
      </c>
      <c r="G236">
        <v>0.87273003388963488</v>
      </c>
      <c r="H236">
        <v>0.90931215793256848</v>
      </c>
      <c r="I236">
        <v>0.94437704965609315</v>
      </c>
      <c r="J236">
        <v>0.93290653764455977</v>
      </c>
      <c r="K236">
        <v>0.92211604983532114</v>
      </c>
    </row>
    <row r="237" spans="1:11" x14ac:dyDescent="0.3">
      <c r="A237" s="1" t="str">
        <f>HYPERLINK("[.\tse_pressure_data\2015.xlsx]2015!$A268","﻿豐興            ")</f>
        <v xml:space="preserve">﻿豐興            </v>
      </c>
      <c r="B237">
        <v>1.0248131961088398</v>
      </c>
      <c r="C237">
        <v>1.1563920454545455</v>
      </c>
      <c r="D237">
        <v>1.00718789407314</v>
      </c>
      <c r="E237">
        <v>1.0181751646743109</v>
      </c>
      <c r="F237">
        <v>1.0359424920127795</v>
      </c>
      <c r="G237">
        <v>0.97705802968960864</v>
      </c>
      <c r="H237">
        <v>0.89194815025073326</v>
      </c>
      <c r="I237">
        <v>0.86011220454336434</v>
      </c>
      <c r="J237">
        <v>0.83603257388599139</v>
      </c>
      <c r="K237">
        <v>0.85112851220635655</v>
      </c>
    </row>
    <row r="238" spans="1:11" x14ac:dyDescent="0.3">
      <c r="A238" s="1" t="str">
        <f>HYPERLINK("[.\tse_pressure_data\2017.xlsx]2017!$A268","﻿官田鋼          ")</f>
        <v xml:space="preserve">﻿官田鋼          </v>
      </c>
      <c r="B238">
        <v>0.6704404174358588</v>
      </c>
      <c r="C238">
        <v>0.70776032394999899</v>
      </c>
      <c r="D238">
        <v>0.67469425443307518</v>
      </c>
      <c r="E238">
        <v>0.68091390677998398</v>
      </c>
      <c r="F238">
        <v>0.6899344092019466</v>
      </c>
      <c r="G238">
        <v>0.6695136020244874</v>
      </c>
      <c r="H238">
        <v>0.71005205457843679</v>
      </c>
      <c r="I238">
        <v>0.71990327823363853</v>
      </c>
      <c r="J238">
        <v>0.72979307305542762</v>
      </c>
      <c r="K238">
        <v>0.79691393712246561</v>
      </c>
    </row>
    <row r="239" spans="1:11" x14ac:dyDescent="0.3">
      <c r="A239" s="1" t="str">
        <f>HYPERLINK("[.\tse_pressure_data\2020.xlsx]2020!$A268","﻿美亞            ")</f>
        <v xml:space="preserve">﻿美亞            </v>
      </c>
      <c r="B239">
        <v>0.79925285096342902</v>
      </c>
      <c r="C239">
        <v>0.78652108433734935</v>
      </c>
      <c r="D239">
        <v>0.83339636913767023</v>
      </c>
      <c r="E239">
        <v>0.82351844949683195</v>
      </c>
      <c r="F239">
        <v>0.81544597534445251</v>
      </c>
      <c r="G239">
        <v>0.73975982891923009</v>
      </c>
      <c r="H239">
        <v>0.78163856242548113</v>
      </c>
      <c r="I239">
        <v>0.78523374159047787</v>
      </c>
      <c r="J239">
        <v>0.77893620781056727</v>
      </c>
      <c r="K239">
        <v>0.82297447280799108</v>
      </c>
    </row>
    <row r="240" spans="1:11" x14ac:dyDescent="0.3">
      <c r="A240" s="1" t="str">
        <f>HYPERLINK("[.\tse_pressure_data\2022.xlsx]2022!$A268","﻿聚亨            ")</f>
        <v xml:space="preserve">﻿聚亨            </v>
      </c>
      <c r="B240">
        <v>0.93040115998066697</v>
      </c>
      <c r="C240">
        <v>1.1352285492093666</v>
      </c>
      <c r="D240">
        <v>0.88149011501330465</v>
      </c>
      <c r="E240">
        <v>0.87173823599471623</v>
      </c>
      <c r="F240">
        <v>0.83572718491453535</v>
      </c>
      <c r="G240">
        <v>0.85781219913994133</v>
      </c>
      <c r="H240">
        <v>0.89058808368057052</v>
      </c>
      <c r="I240">
        <v>0.85051282576207343</v>
      </c>
      <c r="J240">
        <v>0.81515278359146082</v>
      </c>
      <c r="K240">
        <v>0.80909667865453772</v>
      </c>
    </row>
    <row r="241" spans="1:11" x14ac:dyDescent="0.3">
      <c r="A241" s="1" t="str">
        <f>HYPERLINK("[.\tse_pressure_data\2023.xlsx]2023!$A268","﻿燁輝            ")</f>
        <v xml:space="preserve">﻿燁輝            </v>
      </c>
      <c r="B241">
        <v>1.5744205596253151</v>
      </c>
      <c r="C241">
        <v>1.3007325936145819</v>
      </c>
      <c r="D241">
        <v>1.249384421888009</v>
      </c>
      <c r="E241">
        <v>1.1599871341267289</v>
      </c>
      <c r="F241">
        <v>1.0971564691076887</v>
      </c>
      <c r="G241">
        <v>0.95804342139680876</v>
      </c>
      <c r="H241">
        <v>0.98028079301467663</v>
      </c>
      <c r="I241">
        <v>0.98087515503927658</v>
      </c>
      <c r="J241">
        <v>0.97185581996338966</v>
      </c>
      <c r="K241">
        <v>0.98677086316708262</v>
      </c>
    </row>
    <row r="242" spans="1:11" x14ac:dyDescent="0.3">
      <c r="A242" s="1" t="str">
        <f>HYPERLINK("[.\tse_pressure_data\2024.xlsx]2024!$A268","﻿志聯            ")</f>
        <v xml:space="preserve">﻿志聯            </v>
      </c>
      <c r="B242">
        <v>1.0891894864181237</v>
      </c>
      <c r="C242">
        <v>1.0658679607724193</v>
      </c>
      <c r="D242">
        <v>0.96299357208448122</v>
      </c>
      <c r="E242">
        <v>0.95382718304713188</v>
      </c>
      <c r="F242">
        <v>0.97404907415853326</v>
      </c>
      <c r="G242">
        <v>0.94072175955584025</v>
      </c>
      <c r="H242">
        <v>0.94817376269721199</v>
      </c>
      <c r="I242">
        <v>0.93891383180797794</v>
      </c>
      <c r="J242">
        <v>0.9446927863967044</v>
      </c>
      <c r="K242">
        <v>0.9432047790564877</v>
      </c>
    </row>
    <row r="243" spans="1:11" x14ac:dyDescent="0.3">
      <c r="A243" s="1" t="str">
        <f>HYPERLINK("[.\tse_pressure_data\2027.xlsx]2027!$A268","﻿大成鋼          ")</f>
        <v xml:space="preserve">﻿大成鋼          </v>
      </c>
      <c r="B243">
        <v>0.79465318690707154</v>
      </c>
      <c r="C243">
        <v>0.84101390989927316</v>
      </c>
      <c r="D243">
        <v>0.80426863740478038</v>
      </c>
      <c r="E243">
        <v>0.80050245451920299</v>
      </c>
      <c r="F243">
        <v>0.8354624277456647</v>
      </c>
      <c r="G243">
        <v>0.8150058197826513</v>
      </c>
      <c r="H243">
        <v>0.87436564459038768</v>
      </c>
      <c r="I243">
        <v>0.84779417956954317</v>
      </c>
      <c r="J243">
        <v>0.78992781977962312</v>
      </c>
      <c r="K243">
        <v>0.80233830728676336</v>
      </c>
    </row>
    <row r="244" spans="1:11" x14ac:dyDescent="0.3">
      <c r="A244" s="1" t="str">
        <f>HYPERLINK("[.\tse_pressure_data\2028.xlsx]2028!$A268","﻿威致            ")</f>
        <v xml:space="preserve">﻿威致            </v>
      </c>
      <c r="B244">
        <v>1.1458184417441029</v>
      </c>
      <c r="C244">
        <v>1.0680564071122012</v>
      </c>
      <c r="D244">
        <v>0.97273718647764451</v>
      </c>
      <c r="E244">
        <v>0.83881578947368418</v>
      </c>
      <c r="F244">
        <v>0.83984926990108333</v>
      </c>
      <c r="G244">
        <v>0.81313131313131315</v>
      </c>
      <c r="H244">
        <v>0.76559714795008915</v>
      </c>
      <c r="I244">
        <v>0.76427923844061652</v>
      </c>
      <c r="J244">
        <v>0.76084949215143116</v>
      </c>
      <c r="K244">
        <v>0.78870588235294115</v>
      </c>
    </row>
    <row r="245" spans="1:11" x14ac:dyDescent="0.3">
      <c r="A245" s="1" t="str">
        <f>HYPERLINK("[.\tse_pressure_data\2029.xlsx]2029!$A268","﻿盛餘            ")</f>
        <v xml:space="preserve">﻿盛餘            </v>
      </c>
      <c r="B245">
        <v>1.4542701393095094</v>
      </c>
      <c r="C245">
        <v>1.5037359900373599</v>
      </c>
      <c r="D245">
        <v>1.1677648251393817</v>
      </c>
      <c r="E245">
        <v>1.1684698608964452</v>
      </c>
      <c r="F245">
        <v>1.1235687022900764</v>
      </c>
      <c r="G245">
        <v>0.96228032576082301</v>
      </c>
      <c r="H245">
        <v>1.0258545135845749</v>
      </c>
      <c r="I245">
        <v>0.9828104856037817</v>
      </c>
      <c r="J245">
        <v>0.9608010225820196</v>
      </c>
      <c r="K245">
        <v>1.0034692107545533</v>
      </c>
    </row>
    <row r="246" spans="1:11" x14ac:dyDescent="0.3">
      <c r="A246" s="1" t="str">
        <f>HYPERLINK("[.\tse_pressure_data\2030.xlsx]2030!$A268","﻿彰源            ")</f>
        <v xml:space="preserve">﻿彰源            </v>
      </c>
      <c r="B246">
        <v>0.88763442781092572</v>
      </c>
      <c r="C246">
        <v>0.95867267699534076</v>
      </c>
      <c r="D246">
        <v>0.8699006930056441</v>
      </c>
      <c r="E246">
        <v>0.920425667090216</v>
      </c>
      <c r="F246">
        <v>0.92663860493084782</v>
      </c>
      <c r="G246">
        <v>0.93444004381899382</v>
      </c>
      <c r="H246">
        <v>1.0223512847588878</v>
      </c>
      <c r="I246">
        <v>0.97885183797510511</v>
      </c>
      <c r="J246">
        <v>0.92957099294039014</v>
      </c>
      <c r="K246">
        <v>0.91647696701295478</v>
      </c>
    </row>
    <row r="247" spans="1:11" x14ac:dyDescent="0.3">
      <c r="A247" s="1" t="str">
        <f>HYPERLINK("[.\tse_pressure_data\2031.xlsx]2031!$A268","﻿新光鋼          ")</f>
        <v xml:space="preserve">﻿新光鋼          </v>
      </c>
      <c r="B247">
        <v>0.80820755893725837</v>
      </c>
      <c r="C247">
        <v>0.94901938130036678</v>
      </c>
      <c r="D247">
        <v>0.84248738225688913</v>
      </c>
      <c r="E247">
        <v>0.77198331193838254</v>
      </c>
      <c r="F247">
        <v>0.80156018676688301</v>
      </c>
      <c r="G247">
        <v>0.77452210710637681</v>
      </c>
      <c r="H247">
        <v>0.7635838498104579</v>
      </c>
      <c r="I247">
        <v>0.78413983677141574</v>
      </c>
      <c r="J247">
        <v>0.82391580475412807</v>
      </c>
      <c r="K247">
        <v>0.86047330334441618</v>
      </c>
    </row>
    <row r="248" spans="1:11" x14ac:dyDescent="0.3">
      <c r="A248" s="1" t="str">
        <f>HYPERLINK("[.\tse_pressure_data\2032.xlsx]2032!$A268","﻿新鋼            ")</f>
        <v xml:space="preserve">﻿新鋼            </v>
      </c>
      <c r="B248">
        <v>0.66280082761624737</v>
      </c>
      <c r="C248">
        <v>0.67695049284401632</v>
      </c>
      <c r="D248">
        <v>0.64795417348608841</v>
      </c>
      <c r="E248">
        <v>0.62607740872906947</v>
      </c>
      <c r="F248">
        <v>0.6086095992083127</v>
      </c>
      <c r="G248">
        <v>0.6052436591621545</v>
      </c>
      <c r="H248">
        <v>0.61548334402893645</v>
      </c>
      <c r="I248">
        <v>0.61398856873490071</v>
      </c>
      <c r="J248">
        <v>0.58712456481973208</v>
      </c>
      <c r="K248">
        <v>0.58079779587925251</v>
      </c>
    </row>
    <row r="249" spans="1:11" x14ac:dyDescent="0.3">
      <c r="A249" s="1" t="str">
        <f>HYPERLINK("[.\tse_pressure_data\2033.xlsx]2033!$A268","﻿佳大            ")</f>
        <v xml:space="preserve">﻿佳大            </v>
      </c>
      <c r="B249">
        <v>0.70955156064796521</v>
      </c>
      <c r="C249">
        <v>0.80538603661609087</v>
      </c>
      <c r="D249">
        <v>0.77463524130190797</v>
      </c>
      <c r="E249">
        <v>0.7750994883456509</v>
      </c>
      <c r="F249">
        <v>0.75679223744292234</v>
      </c>
      <c r="G249">
        <v>0.74111059801431545</v>
      </c>
      <c r="H249">
        <v>0.75136949991164514</v>
      </c>
      <c r="I249">
        <v>0.729059373705085</v>
      </c>
      <c r="J249">
        <v>0.68420423293076649</v>
      </c>
      <c r="K249">
        <v>0.66258495071327983</v>
      </c>
    </row>
    <row r="250" spans="1:11" x14ac:dyDescent="0.3">
      <c r="A250" s="1" t="str">
        <f>HYPERLINK("[.\tse_pressure_data\2034.xlsx]2034!$A268","﻿允強            ")</f>
        <v xml:space="preserve">﻿允強            </v>
      </c>
      <c r="B250">
        <v>1.0400366748166259</v>
      </c>
      <c r="C250">
        <v>1.1117679660077591</v>
      </c>
      <c r="D250">
        <v>1.0120356693473385</v>
      </c>
      <c r="E250">
        <v>1.012543630017452</v>
      </c>
      <c r="F250">
        <v>0.9919127427507316</v>
      </c>
      <c r="G250">
        <v>0.98021115178524054</v>
      </c>
      <c r="H250">
        <v>1.0094929881337649</v>
      </c>
      <c r="I250">
        <v>0.98088290111294529</v>
      </c>
      <c r="J250">
        <v>0.9330851063829787</v>
      </c>
      <c r="K250">
        <v>0.93380576582380415</v>
      </c>
    </row>
    <row r="251" spans="1:11" x14ac:dyDescent="0.3">
      <c r="A251" s="1" t="str">
        <f>HYPERLINK("[.\tse_pressure_data\2038.xlsx]2038!$A268","﻿海光            ")</f>
        <v xml:space="preserve">﻿海光            </v>
      </c>
      <c r="B251">
        <v>0.60986647716647346</v>
      </c>
      <c r="C251">
        <v>0.64736945868303952</v>
      </c>
      <c r="D251">
        <v>0.59676921782539194</v>
      </c>
      <c r="E251">
        <v>0.54332691872311523</v>
      </c>
      <c r="F251">
        <v>0.51229908244940459</v>
      </c>
      <c r="G251">
        <v>0.64939151454530297</v>
      </c>
      <c r="H251">
        <v>0.61170646111424454</v>
      </c>
      <c r="I251">
        <v>0.58201289249324184</v>
      </c>
      <c r="J251">
        <v>0.55051710421638822</v>
      </c>
      <c r="K251">
        <v>0.54564092050638102</v>
      </c>
    </row>
    <row r="252" spans="1:11" x14ac:dyDescent="0.3">
      <c r="A252" s="1" t="str">
        <f>HYPERLINK("[.\tse_pressure_data\2049.xlsx]2049!$A268","﻿上銀            ")</f>
        <v xml:space="preserve">﻿上銀            </v>
      </c>
      <c r="B252">
        <v>0.54501149655103465</v>
      </c>
      <c r="C252">
        <v>0.57050586472381548</v>
      </c>
      <c r="D252">
        <v>0.601208124359223</v>
      </c>
      <c r="E252">
        <v>0.56762828415659849</v>
      </c>
      <c r="F252">
        <v>0.58329866270430908</v>
      </c>
      <c r="G252">
        <v>0.51841334894613578</v>
      </c>
      <c r="H252">
        <v>0.49292661361626877</v>
      </c>
      <c r="I252">
        <v>0.59316107184923439</v>
      </c>
      <c r="J252">
        <v>0.62235380626185222</v>
      </c>
      <c r="K252">
        <v>0.56507812221945408</v>
      </c>
    </row>
    <row r="253" spans="1:11" x14ac:dyDescent="0.3">
      <c r="A253" s="1" t="str">
        <f>HYPERLINK("[.\tse_pressure_data\2059.xlsx]2059!$A268","﻿川湖            ")</f>
        <v xml:space="preserve">﻿川湖            </v>
      </c>
      <c r="B253">
        <v>1.3309506790564689</v>
      </c>
      <c r="C253">
        <v>1.3519713261648745</v>
      </c>
      <c r="D253">
        <v>1.2805555555555554</v>
      </c>
      <c r="E253">
        <v>1.2100396301188903</v>
      </c>
      <c r="F253">
        <v>1.2179401993355481</v>
      </c>
      <c r="G253">
        <v>1.2963723477070499</v>
      </c>
      <c r="H253">
        <v>1.4241214057507987</v>
      </c>
      <c r="I253">
        <v>1.3366488140780413</v>
      </c>
      <c r="J253">
        <v>1.2371655820679681</v>
      </c>
      <c r="K253">
        <v>1.2808908045977012</v>
      </c>
    </row>
    <row r="254" spans="1:11" x14ac:dyDescent="0.3">
      <c r="A254" s="1" t="str">
        <f>HYPERLINK("[.\tse_pressure_data\2062.xlsx]2062!$A268","﻿橋椿            ")</f>
        <v xml:space="preserve">﻿橋椿            </v>
      </c>
      <c r="B254">
        <v>1.6442085832948776</v>
      </c>
      <c r="C254">
        <v>1.6540590405904059</v>
      </c>
      <c r="D254">
        <v>1.5899248784798941</v>
      </c>
      <c r="E254">
        <v>1.5594827586206896</v>
      </c>
      <c r="F254">
        <v>1.5821799307958477</v>
      </c>
      <c r="G254">
        <v>1.5672489082969432</v>
      </c>
      <c r="H254">
        <v>1.5827785175321794</v>
      </c>
      <c r="I254">
        <v>1.6303751143641354</v>
      </c>
      <c r="J254">
        <v>1.4232619151727153</v>
      </c>
      <c r="K254">
        <v>1.5378678244090689</v>
      </c>
    </row>
    <row r="255" spans="1:11" x14ac:dyDescent="0.3">
      <c r="A255" s="1" t="str">
        <f>HYPERLINK("[.\tse_pressure_data\2069.xlsx]2069!$A268","﻿運錩            ")</f>
        <v xml:space="preserve">﻿運錩            </v>
      </c>
      <c r="B255">
        <v>1.0526552655265526</v>
      </c>
      <c r="C255">
        <v>1.1195165622202328</v>
      </c>
      <c r="D255">
        <v>1.051380042462845</v>
      </c>
      <c r="E255">
        <v>1.0179738562091503</v>
      </c>
      <c r="F255">
        <v>0.9980031948881789</v>
      </c>
      <c r="G255">
        <v>1.0268262484523318</v>
      </c>
      <c r="H255">
        <v>1.0181664554288128</v>
      </c>
      <c r="I255">
        <v>0.94765494137353434</v>
      </c>
      <c r="J255">
        <v>0.92495784148397975</v>
      </c>
      <c r="K255">
        <v>0.92560175054704596</v>
      </c>
    </row>
    <row r="256" spans="1:11" x14ac:dyDescent="0.3">
      <c r="A256" s="1" t="str">
        <f>HYPERLINK("[.\tse_pressure_data\2101.xlsx]2101!$A268","﻿南港            ")</f>
        <v xml:space="preserve">﻿南港            </v>
      </c>
      <c r="B256">
        <v>0.48344415340184027</v>
      </c>
      <c r="C256">
        <v>0.49348608837970542</v>
      </c>
      <c r="D256">
        <v>0.50609676150517902</v>
      </c>
      <c r="E256">
        <v>0.49221203768989169</v>
      </c>
      <c r="F256">
        <v>0.49444304117201315</v>
      </c>
      <c r="G256">
        <v>0.50380848748639828</v>
      </c>
      <c r="H256">
        <v>0.50987989151491675</v>
      </c>
      <c r="I256">
        <v>0.50333743762555894</v>
      </c>
      <c r="J256">
        <v>0.48756798756798758</v>
      </c>
      <c r="K256">
        <v>0.48293348937000197</v>
      </c>
    </row>
    <row r="257" spans="1:11" x14ac:dyDescent="0.3">
      <c r="A257" s="1" t="str">
        <f>HYPERLINK("[.\tse_pressure_data\2102.xlsx]2102!$A268","﻿泰豐            ")</f>
        <v xml:space="preserve">﻿泰豐            </v>
      </c>
      <c r="B257">
        <v>1.0461494903737258</v>
      </c>
      <c r="C257">
        <v>1.0359773371104817</v>
      </c>
      <c r="D257">
        <v>1.0282590173246238</v>
      </c>
      <c r="E257">
        <v>1.0621161362367393</v>
      </c>
      <c r="F257">
        <v>1.0211276409551193</v>
      </c>
      <c r="G257">
        <v>1.0718034045821068</v>
      </c>
      <c r="H257">
        <v>0.99396681749622928</v>
      </c>
      <c r="I257">
        <v>1.0072941176470589</v>
      </c>
      <c r="J257">
        <v>0.88287254789491798</v>
      </c>
      <c r="K257">
        <v>0.84766162310866577</v>
      </c>
    </row>
    <row r="258" spans="1:11" x14ac:dyDescent="0.3">
      <c r="A258" s="1" t="str">
        <f>HYPERLINK("[.\tse_pressure_data\2103.xlsx]2103!$A268","﻿台橡            ")</f>
        <v xml:space="preserve">﻿台橡            </v>
      </c>
      <c r="B258">
        <v>1.3022170361726955</v>
      </c>
      <c r="C258">
        <v>1.4497045582442318</v>
      </c>
      <c r="D258">
        <v>1.3419624763025431</v>
      </c>
      <c r="E258">
        <v>1.2462377727614748</v>
      </c>
      <c r="F258">
        <v>1.2422826220637069</v>
      </c>
      <c r="G258">
        <v>1.3248313523931898</v>
      </c>
      <c r="H258">
        <v>1.281721268850754</v>
      </c>
      <c r="I258">
        <v>1.208306378574201</v>
      </c>
      <c r="J258">
        <v>1.1838240051763183</v>
      </c>
      <c r="K258">
        <v>1.1366952109102442</v>
      </c>
    </row>
    <row r="259" spans="1:11" x14ac:dyDescent="0.3">
      <c r="A259" s="1" t="str">
        <f>HYPERLINK("[.\tse_pressure_data\2104.xlsx]2104!$A268","﻿中橡            ")</f>
        <v xml:space="preserve">﻿中橡            </v>
      </c>
      <c r="B259">
        <v>0.92069291338582682</v>
      </c>
      <c r="C259">
        <v>0.95825397208091234</v>
      </c>
      <c r="D259">
        <v>0.80982237216486463</v>
      </c>
      <c r="E259">
        <v>0.7697160883280757</v>
      </c>
      <c r="F259">
        <v>0.78226931410085176</v>
      </c>
      <c r="G259">
        <v>0.75032550489970529</v>
      </c>
      <c r="H259">
        <v>0.77079852321730513</v>
      </c>
      <c r="I259">
        <v>0.75380763202255496</v>
      </c>
      <c r="J259">
        <v>0.772390159585159</v>
      </c>
      <c r="K259">
        <v>0.71595179738562087</v>
      </c>
    </row>
    <row r="260" spans="1:11" x14ac:dyDescent="0.3">
      <c r="A260" s="1" t="str">
        <f>HYPERLINK("[.\tse_pressure_data\2105.xlsx]2105!$A268","﻿正新            ")</f>
        <v xml:space="preserve">﻿正新            </v>
      </c>
      <c r="B260">
        <v>1.3187621624187194</v>
      </c>
      <c r="C260">
        <v>1.1480819686962815</v>
      </c>
      <c r="D260">
        <v>1.0954576540404597</v>
      </c>
      <c r="E260">
        <v>1.0670139864674981</v>
      </c>
      <c r="F260">
        <v>0.94420739070928261</v>
      </c>
      <c r="G260">
        <v>0.97701508060322417</v>
      </c>
      <c r="H260">
        <v>0.97641311640389128</v>
      </c>
      <c r="I260">
        <v>1.0126465805015834</v>
      </c>
      <c r="J260">
        <v>0.96848814875788847</v>
      </c>
      <c r="K260">
        <v>0.99701511767737505</v>
      </c>
    </row>
    <row r="261" spans="1:11" x14ac:dyDescent="0.3">
      <c r="A261" s="1" t="str">
        <f>HYPERLINK("[.\tse_pressure_data\2106.xlsx]2106!$A268","﻿建大            ")</f>
        <v xml:space="preserve">﻿建大            </v>
      </c>
      <c r="B261">
        <v>1.2025758567998253</v>
      </c>
      <c r="C261">
        <v>1.1955711466783601</v>
      </c>
      <c r="D261">
        <v>1.2492734182875027</v>
      </c>
      <c r="E261">
        <v>1.1171284634760705</v>
      </c>
      <c r="F261">
        <v>1.1980456026058632</v>
      </c>
      <c r="G261">
        <v>1.1234698184888139</v>
      </c>
      <c r="H261">
        <v>1.1981054365733115</v>
      </c>
      <c r="I261">
        <v>1.170407315045719</v>
      </c>
      <c r="J261">
        <v>1.2440849342770475</v>
      </c>
      <c r="K261">
        <v>1.2972211035038259</v>
      </c>
    </row>
    <row r="262" spans="1:11" x14ac:dyDescent="0.3">
      <c r="A262" s="1" t="str">
        <f>HYPERLINK("[.\tse_pressure_data\2107.xlsx]2107!$A268","﻿厚生            ")</f>
        <v xml:space="preserve">﻿厚生            </v>
      </c>
      <c r="B262">
        <v>1.1342627670859222</v>
      </c>
      <c r="C262">
        <v>1.0890746612856732</v>
      </c>
      <c r="D262">
        <v>0.91286483423066023</v>
      </c>
      <c r="E262">
        <v>0.76551724137931032</v>
      </c>
      <c r="F262">
        <v>0.7800901838362817</v>
      </c>
      <c r="G262">
        <v>0.73715545755237044</v>
      </c>
      <c r="H262">
        <v>0.7102173913043478</v>
      </c>
      <c r="I262">
        <v>0.67237346805126763</v>
      </c>
      <c r="J262">
        <v>0.70047605168561156</v>
      </c>
      <c r="K262">
        <v>0.67672702883970492</v>
      </c>
    </row>
    <row r="263" spans="1:11" x14ac:dyDescent="0.3">
      <c r="A263" s="1" t="str">
        <f>HYPERLINK("[.\tse_pressure_data\2108.xlsx]2108!$A268","﻿南帝            ")</f>
        <v xml:space="preserve">﻿南帝            </v>
      </c>
      <c r="B263">
        <v>1.3438562408936376</v>
      </c>
      <c r="C263">
        <v>1.2663131196679733</v>
      </c>
      <c r="D263">
        <v>1.2271293375394321</v>
      </c>
      <c r="E263">
        <v>1.1816230141691713</v>
      </c>
      <c r="F263">
        <v>1.1698947368421053</v>
      </c>
      <c r="G263">
        <v>1.1153846153846154</v>
      </c>
      <c r="H263">
        <v>1.0779246399684357</v>
      </c>
      <c r="I263">
        <v>0.99504066653441781</v>
      </c>
      <c r="J263">
        <v>1.0221538461538462</v>
      </c>
      <c r="K263">
        <v>1.0241431342961844</v>
      </c>
    </row>
    <row r="264" spans="1:11" x14ac:dyDescent="0.3">
      <c r="A264" s="1" t="str">
        <f>HYPERLINK("[.\tse_pressure_data\2109.xlsx]2109!$A268","﻿華豐            ")</f>
        <v xml:space="preserve">﻿華豐            </v>
      </c>
      <c r="B264">
        <v>0.76321062988572153</v>
      </c>
      <c r="C264">
        <v>0.7689971802472706</v>
      </c>
      <c r="D264">
        <v>0.70221664575491427</v>
      </c>
      <c r="E264">
        <v>0.70624781239061951</v>
      </c>
      <c r="F264">
        <v>0.76369332981012417</v>
      </c>
      <c r="G264">
        <v>0.74170095768826227</v>
      </c>
      <c r="H264">
        <v>0.73120144166199141</v>
      </c>
      <c r="I264">
        <v>0.63328149300155523</v>
      </c>
      <c r="J264">
        <v>0.62498141755174175</v>
      </c>
      <c r="K264">
        <v>0.68516613424296569</v>
      </c>
    </row>
    <row r="265" spans="1:11" x14ac:dyDescent="0.3">
      <c r="A265" s="1" t="str">
        <f>HYPERLINK("[.\tse_pressure_data\2114.xlsx]2114!$A268","﻿鑫永銓          ")</f>
        <v xml:space="preserve">﻿鑫永銓          </v>
      </c>
      <c r="B265">
        <v>1.1964809384164223</v>
      </c>
      <c r="C265">
        <v>1.2212389380530972</v>
      </c>
      <c r="D265">
        <v>1.0945558739255015</v>
      </c>
      <c r="E265">
        <v>1.0960451977401129</v>
      </c>
      <c r="F265">
        <v>1.0788732394366196</v>
      </c>
      <c r="G265">
        <v>1.0756756756756756</v>
      </c>
      <c r="H265">
        <v>1.1471389645776566</v>
      </c>
      <c r="I265">
        <v>1.1766467065868262</v>
      </c>
      <c r="J265">
        <v>0.94508670520231219</v>
      </c>
      <c r="K265">
        <v>0.90136986301369859</v>
      </c>
    </row>
    <row r="266" spans="1:11" x14ac:dyDescent="0.3">
      <c r="A266" s="1" t="str">
        <f>HYPERLINK("[.\tse_pressure_data\2115.xlsx]2115!$A268","﻿F-六暉          ")</f>
        <v xml:space="preserve">﻿F-六暉          </v>
      </c>
      <c r="B266">
        <v>1.0207650273224043</v>
      </c>
      <c r="C266">
        <v>0.84791965566714489</v>
      </c>
      <c r="D266">
        <v>1.4610591900311527</v>
      </c>
      <c r="E266">
        <v>1.5888501742160279</v>
      </c>
      <c r="F266">
        <v>1.9644444444444444</v>
      </c>
      <c r="G266">
        <v>2.328125</v>
      </c>
      <c r="H266">
        <v>1.9958333333333333</v>
      </c>
      <c r="I266">
        <v>2.2991071428571428</v>
      </c>
      <c r="J266">
        <v>2.3236514522821579</v>
      </c>
      <c r="K266">
        <v>2.1899224806201549</v>
      </c>
    </row>
    <row r="267" spans="1:11" x14ac:dyDescent="0.3">
      <c r="A267" s="1" t="str">
        <f>HYPERLINK("[.\tse_pressure_data\2201.xlsx]2201!$A268","﻿裕隆            ")</f>
        <v xml:space="preserve">﻿裕隆            </v>
      </c>
      <c r="B267">
        <v>1.1457075727453461</v>
      </c>
      <c r="C267">
        <v>1.2708979471274553</v>
      </c>
      <c r="D267">
        <v>1.2504838362841373</v>
      </c>
      <c r="E267">
        <v>1.2322027704879912</v>
      </c>
      <c r="F267">
        <v>0.94853374792258616</v>
      </c>
      <c r="G267">
        <v>0.92700591843904545</v>
      </c>
      <c r="H267">
        <v>0.8946893951811179</v>
      </c>
      <c r="I267">
        <v>0.93899646054549235</v>
      </c>
      <c r="J267">
        <v>0.96305088872656441</v>
      </c>
      <c r="K267">
        <v>0.90369485401247163</v>
      </c>
    </row>
    <row r="268" spans="1:11" x14ac:dyDescent="0.3">
      <c r="A268" s="1" t="str">
        <f>HYPERLINK("[.\tse_pressure_data\2204.xlsx]2204!$A268","﻿中華            ")</f>
        <v xml:space="preserve">﻿中華            </v>
      </c>
      <c r="B268">
        <v>0.83910940963127145</v>
      </c>
      <c r="C268">
        <v>0.92311699135326597</v>
      </c>
      <c r="D268">
        <v>0.854773020760902</v>
      </c>
      <c r="E268">
        <v>0.90572390572390571</v>
      </c>
      <c r="F268">
        <v>0.85406380554500572</v>
      </c>
      <c r="G268">
        <v>0.83742534837425353</v>
      </c>
      <c r="H268">
        <v>0.86152931854199688</v>
      </c>
      <c r="I268">
        <v>0.87216663263222383</v>
      </c>
      <c r="J268">
        <v>0.78975146339122926</v>
      </c>
      <c r="K268">
        <v>0.78177297504064258</v>
      </c>
    </row>
    <row r="269" spans="1:11" x14ac:dyDescent="0.3">
      <c r="A269" s="1" t="str">
        <f>HYPERLINK("[.\tse_pressure_data\2206.xlsx]2206!$A268","﻿三陽            ")</f>
        <v xml:space="preserve">﻿三陽            </v>
      </c>
      <c r="B269">
        <v>1.3167561458038994</v>
      </c>
      <c r="C269">
        <v>1.5478217821782179</v>
      </c>
      <c r="D269">
        <v>1.1293632958801498</v>
      </c>
      <c r="E269">
        <v>1.0245638043106398</v>
      </c>
      <c r="F269">
        <v>0.98890467492050604</v>
      </c>
      <c r="G269">
        <v>0.98079824441091756</v>
      </c>
      <c r="H269">
        <v>1.0028123461998173</v>
      </c>
      <c r="I269">
        <v>1.0219513933433113</v>
      </c>
      <c r="J269">
        <v>1.0278773688446623</v>
      </c>
      <c r="K269">
        <v>0.99888748794778615</v>
      </c>
    </row>
    <row r="270" spans="1:11" x14ac:dyDescent="0.3">
      <c r="A270" s="1" t="str">
        <f>HYPERLINK("[.\tse_pressure_data\2207.xlsx]2207!$A268","﻿和泰車          ")</f>
        <v xml:space="preserve">﻿和泰車          </v>
      </c>
      <c r="B270">
        <v>0.67308533916849012</v>
      </c>
      <c r="C270">
        <v>0.67455621301775148</v>
      </c>
      <c r="D270">
        <v>0.54195205479452058</v>
      </c>
      <c r="E270">
        <v>0.50375626043405675</v>
      </c>
      <c r="F270">
        <v>0.45420638209697473</v>
      </c>
      <c r="G270">
        <v>0.54309026007139216</v>
      </c>
      <c r="H270">
        <v>0.48497627833421192</v>
      </c>
      <c r="I270">
        <v>0.48932584269662921</v>
      </c>
      <c r="J270">
        <v>0.43459690336358781</v>
      </c>
      <c r="K270">
        <v>0.45941468801766977</v>
      </c>
    </row>
    <row r="271" spans="1:11" x14ac:dyDescent="0.3">
      <c r="A271" s="1" t="str">
        <f>HYPERLINK("[.\tse_pressure_data\2208.xlsx]2208!$A268","﻿台船            ")</f>
        <v xml:space="preserve">﻿台船            </v>
      </c>
      <c r="B271">
        <v>0.58026535902642096</v>
      </c>
      <c r="C271">
        <v>0.58721420874284302</v>
      </c>
      <c r="D271">
        <v>0.57723598300342005</v>
      </c>
      <c r="E271">
        <v>0.57372442372442367</v>
      </c>
      <c r="F271">
        <v>0.57414864917699493</v>
      </c>
      <c r="G271">
        <v>0.57457829899685775</v>
      </c>
      <c r="H271">
        <v>0.54589511944583458</v>
      </c>
      <c r="I271">
        <v>0.54885643795425754</v>
      </c>
      <c r="J271">
        <v>0.53737381883678104</v>
      </c>
      <c r="K271">
        <v>0.50768841611971294</v>
      </c>
    </row>
    <row r="272" spans="1:11" x14ac:dyDescent="0.3">
      <c r="A272" s="1" t="str">
        <f>HYPERLINK("[.\tse_pressure_data\2227.xlsx]2227!$A268","﻿裕日車          ")</f>
        <v xml:space="preserve">﻿裕日車          </v>
      </c>
      <c r="B272">
        <v>1.1048543689320389</v>
      </c>
      <c r="C272">
        <v>1.1126248864668484</v>
      </c>
      <c r="D272">
        <v>1.0016313213703099</v>
      </c>
      <c r="E272">
        <v>0.94319880418535129</v>
      </c>
      <c r="F272">
        <v>0.92023205221174764</v>
      </c>
      <c r="G272">
        <v>0.93146647015475315</v>
      </c>
      <c r="H272">
        <v>0.92178362573099415</v>
      </c>
      <c r="I272">
        <v>1.090765588003157</v>
      </c>
      <c r="J272">
        <v>1.0698234349919744</v>
      </c>
      <c r="K272">
        <v>0.98744113029827318</v>
      </c>
    </row>
    <row r="273" spans="1:11" x14ac:dyDescent="0.3">
      <c r="A273" s="1" t="str">
        <f>HYPERLINK("[.\tse_pressure_data\2228.xlsx]2228!$A268","﻿劍麟            ")</f>
        <v xml:space="preserve">﻿劍麟            </v>
      </c>
      <c r="B273">
        <v>1.7053009883198562</v>
      </c>
      <c r="C273">
        <v>1.7964090079123554</v>
      </c>
      <c r="D273">
        <v>1.8643699565487275</v>
      </c>
      <c r="E273">
        <v>1.8152634766807996</v>
      </c>
      <c r="F273">
        <v>1.7519016968987713</v>
      </c>
      <c r="G273">
        <v>1.7592592592592593</v>
      </c>
      <c r="H273">
        <v>1.823761774536615</v>
      </c>
      <c r="I273">
        <v>1.8091926217115211</v>
      </c>
      <c r="J273">
        <v>1.8402420574886535</v>
      </c>
      <c r="K273">
        <v>1.8098214285714285</v>
      </c>
    </row>
    <row r="274" spans="1:11" x14ac:dyDescent="0.3">
      <c r="A274" s="1" t="str">
        <f>HYPERLINK("[.\tse_pressure_data\2231.xlsx]2231!$A268","﻿為升            ")</f>
        <v xml:space="preserve">﻿為升            </v>
      </c>
      <c r="B274">
        <v>1.0261500286314182</v>
      </c>
      <c r="C274">
        <v>1.0599294947121034</v>
      </c>
      <c r="D274">
        <v>0.98063314711359406</v>
      </c>
      <c r="E274">
        <v>0.93210938994071524</v>
      </c>
      <c r="F274">
        <v>0.88751956181533642</v>
      </c>
      <c r="G274">
        <v>0.84813866456568843</v>
      </c>
      <c r="H274">
        <v>0.90237187632359173</v>
      </c>
      <c r="I274">
        <v>0.86932657800295543</v>
      </c>
      <c r="J274">
        <v>0.91142987249544627</v>
      </c>
      <c r="K274">
        <v>1.0415430267062316</v>
      </c>
    </row>
    <row r="275" spans="1:11" x14ac:dyDescent="0.3">
      <c r="A275" s="1" t="str">
        <f>HYPERLINK("[.\tse_pressure_data\2236.xlsx]2236!$A268","﻿F-百達          ")</f>
        <v xml:space="preserve">﻿F-百達          </v>
      </c>
      <c r="B275">
        <v>0.76635514018691586</v>
      </c>
      <c r="C275">
        <v>0.94810659186535762</v>
      </c>
      <c r="D275">
        <v>0.99699699699699695</v>
      </c>
      <c r="E275">
        <v>1.0045180722891567</v>
      </c>
      <c r="F275">
        <v>0.98825256975036713</v>
      </c>
      <c r="G275">
        <v>0.97297297297297303</v>
      </c>
      <c r="H275">
        <v>1.0412541254125414</v>
      </c>
      <c r="I275">
        <v>1.1070110701107012</v>
      </c>
      <c r="J275">
        <v>1.151685393258427</v>
      </c>
      <c r="K275">
        <v>1.1353383458646618</v>
      </c>
    </row>
    <row r="276" spans="1:11" x14ac:dyDescent="0.3">
      <c r="A276" s="1" t="str">
        <f>HYPERLINK("[.\tse_pressure_data\2239.xlsx]2239!$A268","﻿F-英利          ")</f>
        <v xml:space="preserve">﻿F-英利          </v>
      </c>
      <c r="B276">
        <v>0.83658286300667006</v>
      </c>
      <c r="C276">
        <v>0.8232284471731901</v>
      </c>
      <c r="D276">
        <v>0.74792661472731847</v>
      </c>
      <c r="E276">
        <v>0.7455263157894737</v>
      </c>
      <c r="F276">
        <v>0.8112987769365172</v>
      </c>
      <c r="G276">
        <v>0.75189283634245774</v>
      </c>
      <c r="H276">
        <v>0.74237089201877937</v>
      </c>
      <c r="I276">
        <v>0.7229411764705882</v>
      </c>
      <c r="J276">
        <v>0.71990872789503713</v>
      </c>
      <c r="K276">
        <v>0.70029325513196483</v>
      </c>
    </row>
    <row r="277" spans="1:11" x14ac:dyDescent="0.3">
      <c r="A277" s="1" t="str">
        <f>HYPERLINK("[.\tse_pressure_data\2301.xlsx]2301!$A268","﻿光寶科          ")</f>
        <v xml:space="preserve">﻿光寶科          </v>
      </c>
      <c r="B277">
        <v>0.72719301204006614</v>
      </c>
      <c r="C277">
        <v>0.87024009354783949</v>
      </c>
      <c r="D277">
        <v>0.84682091941754978</v>
      </c>
      <c r="E277">
        <v>0.80034792162607582</v>
      </c>
      <c r="F277">
        <v>0.775872980418435</v>
      </c>
      <c r="G277">
        <v>0.90942552911791774</v>
      </c>
      <c r="H277">
        <v>1.0068044708413226</v>
      </c>
      <c r="I277">
        <v>1.0265115943075922</v>
      </c>
      <c r="J277">
        <v>1.0125496958375246</v>
      </c>
      <c r="K277">
        <v>1.002632341576507</v>
      </c>
    </row>
    <row r="278" spans="1:11" x14ac:dyDescent="0.3">
      <c r="A278" s="1" t="str">
        <f>HYPERLINK("[.\tse_pressure_data\2302.xlsx]2302!$A268","﻿麗正            ")</f>
        <v xml:space="preserve">﻿麗正            </v>
      </c>
      <c r="B278">
        <v>0.95173197047132307</v>
      </c>
      <c r="C278">
        <v>0.89815070383659945</v>
      </c>
      <c r="D278">
        <v>0.78208629164391041</v>
      </c>
      <c r="E278">
        <v>0.96316507503410642</v>
      </c>
      <c r="F278">
        <v>1.0289299407459045</v>
      </c>
      <c r="G278">
        <v>0.83144052600119545</v>
      </c>
      <c r="H278">
        <v>0.86789554531490021</v>
      </c>
      <c r="I278">
        <v>0.87401095556908093</v>
      </c>
      <c r="J278">
        <v>0.85073728558531447</v>
      </c>
      <c r="K278">
        <v>0.77173588288019124</v>
      </c>
    </row>
    <row r="279" spans="1:11" x14ac:dyDescent="0.3">
      <c r="A279" s="1" t="str">
        <f>HYPERLINK("[.\tse_pressure_data\2303.xlsx]2303!$A268","﻿聯電            ")</f>
        <v xml:space="preserve">﻿聯電            </v>
      </c>
      <c r="B279">
        <v>1.0373136180259641</v>
      </c>
      <c r="C279">
        <v>0.94381217411383578</v>
      </c>
      <c r="D279">
        <v>0.92370797552707506</v>
      </c>
      <c r="E279">
        <v>0.88660876237717035</v>
      </c>
      <c r="F279">
        <v>0.89077681312442825</v>
      </c>
      <c r="G279">
        <v>0.87604094595833715</v>
      </c>
      <c r="H279">
        <v>0.87120252751413241</v>
      </c>
      <c r="I279">
        <v>1.039341433930568</v>
      </c>
      <c r="J279">
        <v>0.98843509835197196</v>
      </c>
      <c r="K279">
        <v>0.98379384260240732</v>
      </c>
    </row>
    <row r="280" spans="1:11" x14ac:dyDescent="0.3">
      <c r="A280" s="1" t="str">
        <f>HYPERLINK("[.\tse_pressure_data\2305.xlsx]2305!$A268","﻿全友            ")</f>
        <v xml:space="preserve">﻿全友            </v>
      </c>
      <c r="B280">
        <v>0.85494884692960071</v>
      </c>
      <c r="C280">
        <v>0.84788633923443779</v>
      </c>
      <c r="D280">
        <v>0.8294614418047398</v>
      </c>
      <c r="E280">
        <v>0.9040524051120673</v>
      </c>
      <c r="F280">
        <v>0.89362043000416547</v>
      </c>
      <c r="G280">
        <v>0.90462363894587339</v>
      </c>
      <c r="H280">
        <v>0.90494522801245936</v>
      </c>
      <c r="I280">
        <v>1.2329857164038946</v>
      </c>
      <c r="J280">
        <v>1.2618279828656687</v>
      </c>
      <c r="K280">
        <v>1.1065124771758978</v>
      </c>
    </row>
    <row r="281" spans="1:11" x14ac:dyDescent="0.3">
      <c r="A281" s="1" t="str">
        <f>HYPERLINK("[.\tse_pressure_data\2308.xlsx]2308!$A268","﻿台達電          ")</f>
        <v xml:space="preserve">﻿台達電          </v>
      </c>
      <c r="B281">
        <v>0.90034481227709295</v>
      </c>
      <c r="C281">
        <v>0.95516813838151693</v>
      </c>
      <c r="D281">
        <v>0.98826168454045416</v>
      </c>
      <c r="E281">
        <v>0.91271398403450699</v>
      </c>
      <c r="F281">
        <v>0.86219259259259262</v>
      </c>
      <c r="G281">
        <v>0.81210181280970117</v>
      </c>
      <c r="H281">
        <v>0.82579134366925067</v>
      </c>
      <c r="I281">
        <v>0.7160481642321358</v>
      </c>
      <c r="J281">
        <v>0.80211025396887081</v>
      </c>
      <c r="K281">
        <v>0.84629598164981734</v>
      </c>
    </row>
    <row r="282" spans="1:11" x14ac:dyDescent="0.3">
      <c r="A282" s="1" t="str">
        <f>HYPERLINK("[.\tse_pressure_data\2311.xlsx]2311!$A268","﻿日月光          ")</f>
        <v xml:space="preserve">﻿日月光          </v>
      </c>
      <c r="B282">
        <v>0.74393751956239851</v>
      </c>
      <c r="C282">
        <v>0.70525391053954467</v>
      </c>
      <c r="D282">
        <v>0.67859040802695147</v>
      </c>
      <c r="E282">
        <v>0.65725769485015606</v>
      </c>
      <c r="F282">
        <v>0.5905822716796516</v>
      </c>
      <c r="G282">
        <v>0.53644702078719297</v>
      </c>
      <c r="H282">
        <v>0.54109189110283917</v>
      </c>
      <c r="I282">
        <v>0.51798018388993361</v>
      </c>
      <c r="J282">
        <v>0.52146778433926533</v>
      </c>
      <c r="K282">
        <v>0.50163963042854831</v>
      </c>
    </row>
    <row r="283" spans="1:11" x14ac:dyDescent="0.3">
      <c r="A283" s="1" t="str">
        <f>HYPERLINK("[.\tse_pressure_data\2312.xlsx]2312!$A268","﻿金寶            ")</f>
        <v xml:space="preserve">﻿金寶            </v>
      </c>
      <c r="B283">
        <v>0.91092994087081169</v>
      </c>
      <c r="C283">
        <v>0.92156721133881014</v>
      </c>
      <c r="D283">
        <v>0.85933040996728616</v>
      </c>
      <c r="E283">
        <v>0.83084058575225395</v>
      </c>
      <c r="F283">
        <v>0.72897999896813248</v>
      </c>
      <c r="G283">
        <v>0.81500288302364077</v>
      </c>
      <c r="H283">
        <v>0.82770653556571661</v>
      </c>
      <c r="I283">
        <v>0.77733662228830169</v>
      </c>
      <c r="J283">
        <v>0.73518198155830627</v>
      </c>
      <c r="K283">
        <v>0.74250649044134998</v>
      </c>
    </row>
    <row r="284" spans="1:11" x14ac:dyDescent="0.3">
      <c r="A284" s="1" t="str">
        <f>HYPERLINK("[.\tse_pressure_data\2313.xlsx]2313!$A268","﻿華通            ")</f>
        <v xml:space="preserve">﻿華通            </v>
      </c>
      <c r="B284">
        <v>1.3033875865339648</v>
      </c>
      <c r="C284">
        <v>1.3488351918213182</v>
      </c>
      <c r="D284">
        <v>1.2898596539755927</v>
      </c>
      <c r="E284">
        <v>1.5399468858490846</v>
      </c>
      <c r="F284">
        <v>1.227941446233995</v>
      </c>
      <c r="G284">
        <v>1.1359207163782177</v>
      </c>
      <c r="H284">
        <v>1.2338835190039319</v>
      </c>
      <c r="I284">
        <v>1.2779476380423997</v>
      </c>
      <c r="J284">
        <v>1.3398527880105411</v>
      </c>
      <c r="K284">
        <v>1.3984477342836619</v>
      </c>
    </row>
    <row r="285" spans="1:11" x14ac:dyDescent="0.3">
      <c r="A285" s="1" t="str">
        <f>HYPERLINK("[.\tse_pressure_data\2314.xlsx]2314!$A268","﻿台揚            ")</f>
        <v xml:space="preserve">﻿台揚            </v>
      </c>
      <c r="B285">
        <v>1.2578839260542107</v>
      </c>
      <c r="C285">
        <v>1.3153028781793843</v>
      </c>
      <c r="D285">
        <v>1.3013670084187714</v>
      </c>
      <c r="E285">
        <v>1.3271285617367707</v>
      </c>
      <c r="F285">
        <v>1.2594231399541134</v>
      </c>
      <c r="G285">
        <v>1.2535943465193728</v>
      </c>
      <c r="H285">
        <v>1.2693245891150478</v>
      </c>
      <c r="I285">
        <v>1.2830529570000402</v>
      </c>
      <c r="J285">
        <v>1.2982923579992733</v>
      </c>
      <c r="K285">
        <v>1.3162783118787682</v>
      </c>
    </row>
    <row r="286" spans="1:11" x14ac:dyDescent="0.3">
      <c r="A286" s="1" t="str">
        <f>HYPERLINK("[.\tse_pressure_data\2316.xlsx]2316!$A268","﻿楠梓電          ")</f>
        <v xml:space="preserve">﻿楠梓電          </v>
      </c>
      <c r="B286">
        <v>1.5173282923755513</v>
      </c>
      <c r="C286">
        <v>1.3966712898751734</v>
      </c>
      <c r="D286">
        <v>1.3410472641694451</v>
      </c>
      <c r="E286">
        <v>1.3704647970190234</v>
      </c>
      <c r="F286">
        <v>1.3157794314062201</v>
      </c>
      <c r="G286">
        <v>1.3237478575509427</v>
      </c>
      <c r="H286">
        <v>1.4777155655095184</v>
      </c>
      <c r="I286">
        <v>1.3494026409557744</v>
      </c>
      <c r="J286">
        <v>1.2758336764100453</v>
      </c>
      <c r="K286">
        <v>1.3833075734157652</v>
      </c>
    </row>
    <row r="287" spans="1:11" x14ac:dyDescent="0.3">
      <c r="A287" s="1" t="str">
        <f>HYPERLINK("[.\tse_pressure_data\2317.xlsx]2317!$A268","﻿鴻海            ")</f>
        <v xml:space="preserve">﻿鴻海            </v>
      </c>
      <c r="B287">
        <v>1.0656540766440625</v>
      </c>
      <c r="C287">
        <v>1.0929680896869567</v>
      </c>
      <c r="D287">
        <v>1.0724463854509521</v>
      </c>
      <c r="E287">
        <v>0.9828824639413376</v>
      </c>
      <c r="F287">
        <v>0.93752760798734469</v>
      </c>
      <c r="G287">
        <v>0.89229191258208318</v>
      </c>
      <c r="H287">
        <v>0.84473298849313405</v>
      </c>
      <c r="I287">
        <v>0.91237866355479569</v>
      </c>
      <c r="J287">
        <v>0.84826055386728616</v>
      </c>
      <c r="K287">
        <v>1.1183734209710166</v>
      </c>
    </row>
    <row r="288" spans="1:11" x14ac:dyDescent="0.3">
      <c r="A288" s="1" t="str">
        <f>HYPERLINK("[.\tse_pressure_data\2321.xlsx]2321!$A268","﻿東訊            ")</f>
        <v xml:space="preserve">﻿東訊            </v>
      </c>
      <c r="B288">
        <v>1.2005899705014749</v>
      </c>
      <c r="C288">
        <v>1.4200819672131149</v>
      </c>
      <c r="D288">
        <v>1.4686234817813766</v>
      </c>
      <c r="E288">
        <v>1.5860995850622406</v>
      </c>
      <c r="F288">
        <v>2.0472008781558726</v>
      </c>
      <c r="G288">
        <v>1.6215978928884986</v>
      </c>
      <c r="H288">
        <v>1.9413707679603633</v>
      </c>
      <c r="I288">
        <v>1.4274124679760889</v>
      </c>
      <c r="J288">
        <v>1.0599239061509194</v>
      </c>
      <c r="K288">
        <v>0.80434782608695654</v>
      </c>
    </row>
    <row r="289" spans="1:11" x14ac:dyDescent="0.3">
      <c r="A289" s="1" t="str">
        <f>HYPERLINK("[.\tse_pressure_data\2323.xlsx]2323!$A268","﻿中環            ")</f>
        <v xml:space="preserve">﻿中環            </v>
      </c>
      <c r="B289">
        <v>0.75168445062003508</v>
      </c>
      <c r="C289">
        <v>0.78335914412120333</v>
      </c>
      <c r="D289">
        <v>0.71703725083685033</v>
      </c>
      <c r="E289">
        <v>0.63419257279504848</v>
      </c>
      <c r="F289">
        <v>0.63992852926378008</v>
      </c>
      <c r="G289">
        <v>0.36647134998117248</v>
      </c>
      <c r="H289">
        <v>0.46110524216962717</v>
      </c>
      <c r="I289">
        <v>1.0079732769328902</v>
      </c>
      <c r="J289">
        <v>1.0938427597272362</v>
      </c>
      <c r="K289">
        <v>0.93122510516323564</v>
      </c>
    </row>
    <row r="290" spans="1:11" x14ac:dyDescent="0.3">
      <c r="A290" s="1" t="str">
        <f>HYPERLINK("[.\tse_pressure_data\2324.xlsx]2324!$A268","﻿仁寶            ")</f>
        <v xml:space="preserve">﻿仁寶            </v>
      </c>
      <c r="B290">
        <v>0.72264377899772991</v>
      </c>
      <c r="C290">
        <v>0.82642691890942099</v>
      </c>
      <c r="D290">
        <v>0.81264201206612863</v>
      </c>
      <c r="E290">
        <v>0.79790640751526176</v>
      </c>
      <c r="F290">
        <v>0.65443243904044535</v>
      </c>
      <c r="G290">
        <v>0.96341179212304828</v>
      </c>
      <c r="H290">
        <v>1.0013501673345686</v>
      </c>
      <c r="I290">
        <v>1.0268095705336251</v>
      </c>
      <c r="J290">
        <v>0.93379497704085401</v>
      </c>
      <c r="K290">
        <v>1.1037497473216091</v>
      </c>
    </row>
    <row r="291" spans="1:11" x14ac:dyDescent="0.3">
      <c r="A291" s="1" t="str">
        <f>HYPERLINK("[.\tse_pressure_data\2325.xlsx]2325!$A268","﻿矽品            ")</f>
        <v xml:space="preserve">﻿矽品            </v>
      </c>
      <c r="B291">
        <v>1.0901931879897586</v>
      </c>
      <c r="C291">
        <v>1.1182520317005789</v>
      </c>
      <c r="D291">
        <v>1.1397981893217519</v>
      </c>
      <c r="E291">
        <v>1.1402642527316784</v>
      </c>
      <c r="F291">
        <v>1.0575954261077396</v>
      </c>
      <c r="G291">
        <v>1.1186862729679432</v>
      </c>
      <c r="H291">
        <v>0.90019193857965452</v>
      </c>
      <c r="I291">
        <v>0.86167146974063402</v>
      </c>
      <c r="J291">
        <v>0.7916642729936233</v>
      </c>
      <c r="K291">
        <v>0.79339310714604871</v>
      </c>
    </row>
    <row r="292" spans="1:11" x14ac:dyDescent="0.3">
      <c r="A292" s="1" t="str">
        <f>HYPERLINK("[.\tse_pressure_data\2327.xlsx]2327!$A268","﻿國巨            ")</f>
        <v xml:space="preserve">﻿國巨            </v>
      </c>
      <c r="B292">
        <v>1.0403023068287824</v>
      </c>
      <c r="C292">
        <v>1.041554853359163</v>
      </c>
      <c r="D292">
        <v>1.0197218185592694</v>
      </c>
      <c r="E292">
        <v>0.98248109020441332</v>
      </c>
      <c r="F292">
        <v>0.88161062299707127</v>
      </c>
      <c r="G292">
        <v>0.84216753785552745</v>
      </c>
      <c r="H292">
        <v>0.88081774684645497</v>
      </c>
      <c r="I292">
        <v>0.79524817689955307</v>
      </c>
      <c r="J292">
        <v>0.88703538037853669</v>
      </c>
      <c r="K292">
        <v>0.98917036583499163</v>
      </c>
    </row>
    <row r="293" spans="1:11" x14ac:dyDescent="0.3">
      <c r="A293" s="1" t="str">
        <f>HYPERLINK("[.\tse_pressure_data\2328.xlsx]2328!$A268","﻿廣宇            ")</f>
        <v xml:space="preserve">﻿廣宇            </v>
      </c>
      <c r="B293">
        <v>1.1422308665987466</v>
      </c>
      <c r="C293">
        <v>1.1180249632892805</v>
      </c>
      <c r="D293">
        <v>1.1328320019970044</v>
      </c>
      <c r="E293">
        <v>1.1571446509291814</v>
      </c>
      <c r="F293">
        <v>1.0829386058735446</v>
      </c>
      <c r="G293">
        <v>1.0300948235659879</v>
      </c>
      <c r="H293">
        <v>1.1239140811455848</v>
      </c>
      <c r="I293">
        <v>1.1273825977949921</v>
      </c>
      <c r="J293">
        <v>1.1735212953419556</v>
      </c>
      <c r="K293">
        <v>1.1595958917902933</v>
      </c>
    </row>
    <row r="294" spans="1:11" x14ac:dyDescent="0.3">
      <c r="A294" s="1" t="str">
        <f>HYPERLINK("[.\tse_pressure_data\2329.xlsx]2329!$A268","﻿華泰            ")</f>
        <v xml:space="preserve">﻿華泰            </v>
      </c>
      <c r="B294">
        <v>1.4464441535776615</v>
      </c>
      <c r="C294">
        <v>1.3814710957722174</v>
      </c>
      <c r="D294">
        <v>1.3942035301808673</v>
      </c>
      <c r="E294">
        <v>1.2711571675302245</v>
      </c>
      <c r="F294">
        <v>1.1490478041197045</v>
      </c>
      <c r="G294">
        <v>1.144555817610063</v>
      </c>
      <c r="H294">
        <v>1.310953325676099</v>
      </c>
      <c r="I294">
        <v>1.4579989299090423</v>
      </c>
      <c r="J294">
        <v>1.4475531590192288</v>
      </c>
      <c r="K294">
        <v>1.3467228372685411</v>
      </c>
    </row>
    <row r="295" spans="1:11" x14ac:dyDescent="0.3">
      <c r="A295" s="1" t="str">
        <f>HYPERLINK("[.\tse_pressure_data\2330.xlsx]2330!$A268","﻿台積電          ")</f>
        <v xml:space="preserve">﻿台積電          </v>
      </c>
      <c r="B295">
        <v>0.723970518260042</v>
      </c>
      <c r="C295">
        <v>0.69993506218852863</v>
      </c>
      <c r="D295">
        <v>0.61984745489769333</v>
      </c>
      <c r="E295">
        <v>0.60236681492734256</v>
      </c>
      <c r="F295">
        <v>0.55534435214774391</v>
      </c>
      <c r="G295">
        <v>0.54450587722006338</v>
      </c>
      <c r="H295">
        <v>0.48343402945747604</v>
      </c>
      <c r="I295">
        <v>0.53206258603336765</v>
      </c>
      <c r="J295">
        <v>0.56819107684415404</v>
      </c>
      <c r="K295">
        <v>0.63249383745682852</v>
      </c>
    </row>
    <row r="296" spans="1:11" x14ac:dyDescent="0.3">
      <c r="A296" s="1" t="str">
        <f>HYPERLINK("[.\tse_pressure_data\2331.xlsx]2331!$A268","﻿精英            ")</f>
        <v xml:space="preserve">﻿精英            </v>
      </c>
      <c r="B296">
        <v>1.3372725567435753</v>
      </c>
      <c r="C296">
        <v>1.3352601156069364</v>
      </c>
      <c r="D296">
        <v>1.2854254732585921</v>
      </c>
      <c r="E296">
        <v>1.2947196584416401</v>
      </c>
      <c r="F296">
        <v>1.1469161064016369</v>
      </c>
      <c r="G296">
        <v>1.0076148219210936</v>
      </c>
      <c r="H296">
        <v>1.5200252286345002</v>
      </c>
      <c r="I296">
        <v>1.5489072777424147</v>
      </c>
      <c r="J296">
        <v>1.4765284396228329</v>
      </c>
      <c r="K296">
        <v>1.4084438377535102</v>
      </c>
    </row>
    <row r="297" spans="1:11" x14ac:dyDescent="0.3">
      <c r="A297" s="1" t="str">
        <f>HYPERLINK("[.\tse_pressure_data\2332.xlsx]2332!$A268","﻿友訊            ")</f>
        <v xml:space="preserve">﻿友訊            </v>
      </c>
      <c r="B297">
        <v>0.77791182346820886</v>
      </c>
      <c r="C297">
        <v>0.79250786276377783</v>
      </c>
      <c r="D297">
        <v>0.78679993174867768</v>
      </c>
      <c r="E297">
        <v>0.75852529175298566</v>
      </c>
      <c r="F297">
        <v>0.760456948938521</v>
      </c>
      <c r="G297">
        <v>0.75767542396626952</v>
      </c>
      <c r="H297">
        <v>0.75353646729776247</v>
      </c>
      <c r="I297">
        <v>0.72762062437660724</v>
      </c>
      <c r="J297">
        <v>0.73058767666610802</v>
      </c>
      <c r="K297">
        <v>0.70582881076382953</v>
      </c>
    </row>
    <row r="298" spans="1:11" x14ac:dyDescent="0.3">
      <c r="A298" s="1" t="str">
        <f>HYPERLINK("[.\tse_pressure_data\2337.xlsx]2337!$A268","﻿旺宏            ")</f>
        <v xml:space="preserve">﻿旺宏            </v>
      </c>
      <c r="B298">
        <v>1.0531915953493469</v>
      </c>
      <c r="C298">
        <v>1.1584867605499065</v>
      </c>
      <c r="D298">
        <v>1.233351000937742</v>
      </c>
      <c r="E298">
        <v>1.1685450728689</v>
      </c>
      <c r="F298">
        <v>1.0575912968779713</v>
      </c>
      <c r="G298">
        <v>1.0324403655102801</v>
      </c>
      <c r="H298">
        <v>0.95320661897706127</v>
      </c>
      <c r="I298">
        <v>1.2191811118251392</v>
      </c>
      <c r="J298">
        <v>1.3526331323523211</v>
      </c>
      <c r="K298">
        <v>1.2325903283284141</v>
      </c>
    </row>
    <row r="299" spans="1:11" x14ac:dyDescent="0.3">
      <c r="A299" s="1" t="str">
        <f>HYPERLINK("[.\tse_pressure_data\2338.xlsx]2338!$A268","﻿光罩            ")</f>
        <v xml:space="preserve">﻿光罩            </v>
      </c>
      <c r="B299">
        <v>0.77324942563180499</v>
      </c>
      <c r="C299">
        <v>0.77024948735475052</v>
      </c>
      <c r="D299">
        <v>0.76893362819150468</v>
      </c>
      <c r="E299">
        <v>0.76369268719434369</v>
      </c>
      <c r="F299">
        <v>0.76751165038738445</v>
      </c>
      <c r="G299">
        <v>0.72220972097209724</v>
      </c>
      <c r="H299">
        <v>0.73789193926885122</v>
      </c>
      <c r="I299">
        <v>0.70741197158721147</v>
      </c>
      <c r="J299">
        <v>0.71741227199228386</v>
      </c>
      <c r="K299">
        <v>0.6792774956242289</v>
      </c>
    </row>
    <row r="300" spans="1:11" x14ac:dyDescent="0.3">
      <c r="A300" s="1" t="str">
        <f>HYPERLINK("[.\tse_pressure_data\2340.xlsx]2340!$A268","﻿光磊            ")</f>
        <v xml:space="preserve">﻿光磊            </v>
      </c>
      <c r="B300">
        <v>1.0143532101877488</v>
      </c>
      <c r="C300">
        <v>0.98715186013417366</v>
      </c>
      <c r="D300">
        <v>0.98220806677466299</v>
      </c>
      <c r="E300">
        <v>0.949501678836007</v>
      </c>
      <c r="F300">
        <v>0.91534488156109772</v>
      </c>
      <c r="G300">
        <v>0.84468394194117136</v>
      </c>
      <c r="H300">
        <v>0.86545962404690602</v>
      </c>
      <c r="I300">
        <v>0.78603780647576271</v>
      </c>
      <c r="J300">
        <v>0.73407125036410381</v>
      </c>
      <c r="K300">
        <v>0.73921984615584857</v>
      </c>
    </row>
    <row r="301" spans="1:11" x14ac:dyDescent="0.3">
      <c r="A301" s="1" t="str">
        <f>HYPERLINK("[.\tse_pressure_data\2342.xlsx]2342!$A268","﻿茂矽            ")</f>
        <v xml:space="preserve">﻿茂矽            </v>
      </c>
      <c r="B301">
        <v>0.54367469879518071</v>
      </c>
      <c r="C301">
        <v>0.5089838909541512</v>
      </c>
      <c r="D301">
        <v>0.47718947718947718</v>
      </c>
      <c r="E301">
        <v>0.56591211717709722</v>
      </c>
      <c r="F301">
        <v>0.59579550883898713</v>
      </c>
      <c r="G301">
        <v>0.60020397756246813</v>
      </c>
      <c r="H301">
        <v>0.57911392405063289</v>
      </c>
      <c r="I301">
        <v>0.91439322671683909</v>
      </c>
      <c r="J301">
        <v>0.98033126293995865</v>
      </c>
      <c r="K301">
        <v>0.89884649511978709</v>
      </c>
    </row>
    <row r="302" spans="1:11" x14ac:dyDescent="0.3">
      <c r="A302" s="1" t="str">
        <f>HYPERLINK("[.\tse_pressure_data\2344.xlsx]2344!$A268","﻿華邦電          ")</f>
        <v xml:space="preserve">﻿華邦電          </v>
      </c>
      <c r="B302">
        <v>1.3854918020755354</v>
      </c>
      <c r="C302">
        <v>1.3444476150123508</v>
      </c>
      <c r="D302">
        <v>1.2561908582618184</v>
      </c>
      <c r="E302">
        <v>1.2600044482749033</v>
      </c>
      <c r="F302">
        <v>1.3432412610052566</v>
      </c>
      <c r="G302">
        <v>1.3516293029138065</v>
      </c>
      <c r="H302">
        <v>1.3153537436902751</v>
      </c>
      <c r="I302">
        <v>1.3746212796292996</v>
      </c>
      <c r="J302">
        <v>1.4383715731429505</v>
      </c>
      <c r="K302">
        <v>1.7109178013111448</v>
      </c>
    </row>
    <row r="303" spans="1:11" x14ac:dyDescent="0.3">
      <c r="A303" s="1" t="str">
        <f>HYPERLINK("[.\tse_pressure_data\2345.xlsx]2345!$A268","﻿智邦            ")</f>
        <v xml:space="preserve">﻿智邦            </v>
      </c>
      <c r="B303">
        <v>0.95275869655560175</v>
      </c>
      <c r="C303">
        <v>0.97934508816120902</v>
      </c>
      <c r="D303">
        <v>0.89544798938441128</v>
      </c>
      <c r="E303">
        <v>0.90484012771273892</v>
      </c>
      <c r="F303">
        <v>0.96294065203248114</v>
      </c>
      <c r="G303">
        <v>0.86610898379970547</v>
      </c>
      <c r="H303">
        <v>0.85168590341004136</v>
      </c>
      <c r="I303">
        <v>0.83034606454466164</v>
      </c>
      <c r="J303">
        <v>0.89989650954934608</v>
      </c>
      <c r="K303">
        <v>0.89645943990059673</v>
      </c>
    </row>
    <row r="304" spans="1:11" x14ac:dyDescent="0.3">
      <c r="A304" s="1" t="str">
        <f>HYPERLINK("[.\tse_pressure_data\2347.xlsx]2347!$A268","﻿聯強            ")</f>
        <v xml:space="preserve">﻿聯強            </v>
      </c>
      <c r="B304">
        <v>1.2200896860986548</v>
      </c>
      <c r="C304">
        <v>1.0166594144340151</v>
      </c>
      <c r="D304">
        <v>0.92278804266185965</v>
      </c>
      <c r="E304">
        <v>0.90987847786877973</v>
      </c>
      <c r="F304">
        <v>0.90198601889496621</v>
      </c>
      <c r="G304">
        <v>0.86913386284949523</v>
      </c>
      <c r="H304">
        <v>0.83678362573099418</v>
      </c>
      <c r="I304">
        <v>0.8458420850220395</v>
      </c>
      <c r="J304">
        <v>0.86920565168299302</v>
      </c>
      <c r="K304">
        <v>0.84282370109141758</v>
      </c>
    </row>
    <row r="305" spans="1:11" x14ac:dyDescent="0.3">
      <c r="A305" s="1" t="str">
        <f>HYPERLINK("[.\tse_pressure_data\2348.xlsx]2348!$A268","﻿海悅            ")</f>
        <v xml:space="preserve">﻿海悅            </v>
      </c>
      <c r="B305">
        <v>1.0842696629213484</v>
      </c>
      <c r="C305">
        <v>1.0965909090909092</v>
      </c>
      <c r="D305">
        <v>1.0852272727272727</v>
      </c>
      <c r="E305">
        <v>1.1306818181818181</v>
      </c>
      <c r="F305">
        <v>2.72</v>
      </c>
      <c r="G305">
        <v>1.1547619047619047</v>
      </c>
      <c r="H305">
        <v>1.1529411764705881</v>
      </c>
      <c r="I305">
        <v>1.1720430107526882</v>
      </c>
      <c r="J305">
        <v>1.1720430107526882</v>
      </c>
      <c r="K305">
        <v>1.1122448979591837</v>
      </c>
    </row>
    <row r="306" spans="1:11" x14ac:dyDescent="0.3">
      <c r="A306" s="1" t="str">
        <f>HYPERLINK("[.\tse_pressure_data\2349.xlsx]2349!$A268","﻿錸德            ")</f>
        <v xml:space="preserve">﻿錸德            </v>
      </c>
      <c r="B306">
        <v>0.86318803875554728</v>
      </c>
      <c r="C306">
        <v>0.92017202330966741</v>
      </c>
      <c r="D306">
        <v>0.80068537436958487</v>
      </c>
      <c r="E306">
        <v>0.71496088979834316</v>
      </c>
      <c r="F306">
        <v>0.75688310806797843</v>
      </c>
      <c r="G306">
        <v>0.41840530999640646</v>
      </c>
      <c r="H306">
        <v>0.47031911055721359</v>
      </c>
      <c r="I306">
        <v>0.93958135109419605</v>
      </c>
      <c r="J306">
        <v>0.98919882168963891</v>
      </c>
      <c r="K306">
        <v>0.88009928771854096</v>
      </c>
    </row>
    <row r="307" spans="1:11" x14ac:dyDescent="0.3">
      <c r="A307" s="1" t="str">
        <f>HYPERLINK("[.\tse_pressure_data\2351.xlsx]2351!$A268","﻿順德            ")</f>
        <v xml:space="preserve">﻿順德            </v>
      </c>
      <c r="B307">
        <v>1.7884295127072622</v>
      </c>
      <c r="C307">
        <v>1.7887606623181134</v>
      </c>
      <c r="D307">
        <v>1.7673060282665127</v>
      </c>
      <c r="E307">
        <v>1.704743055064678</v>
      </c>
      <c r="F307">
        <v>1.889656280115644</v>
      </c>
      <c r="G307">
        <v>1.8649803166094312</v>
      </c>
      <c r="H307">
        <v>1.6939872068230277</v>
      </c>
      <c r="I307">
        <v>1.6468540596988948</v>
      </c>
      <c r="J307">
        <v>1.5671718469047007</v>
      </c>
      <c r="K307">
        <v>1.4406854130052724</v>
      </c>
    </row>
    <row r="308" spans="1:11" x14ac:dyDescent="0.3">
      <c r="A308" s="1" t="str">
        <f>HYPERLINK("[.\tse_pressure_data\2352.xlsx]2352!$A268","﻿佳世達          ")</f>
        <v xml:space="preserve">﻿佳世達          </v>
      </c>
      <c r="B308">
        <v>1.3982627341946974</v>
      </c>
      <c r="C308">
        <v>1.4189850568509592</v>
      </c>
      <c r="D308">
        <v>1.2931721767115272</v>
      </c>
      <c r="E308">
        <v>1.3210930027568875</v>
      </c>
      <c r="F308">
        <v>1.2847392695082942</v>
      </c>
      <c r="G308">
        <v>1.2188065760839748</v>
      </c>
      <c r="H308">
        <v>1.2503123776132485</v>
      </c>
      <c r="I308">
        <v>1.1926166145028092</v>
      </c>
      <c r="J308">
        <v>1.3301272037491632</v>
      </c>
      <c r="K308">
        <v>1.2574422377131833</v>
      </c>
    </row>
    <row r="309" spans="1:11" x14ac:dyDescent="0.3">
      <c r="A309" s="1" t="str">
        <f>HYPERLINK("[.\tse_pressure_data\2353.xlsx]2353!$A268","﻿宏碁            ")</f>
        <v xml:space="preserve">﻿宏碁            </v>
      </c>
      <c r="B309">
        <v>0.97613503554213776</v>
      </c>
      <c r="C309">
        <v>1.0172861640103337</v>
      </c>
      <c r="D309">
        <v>0.9975725573931814</v>
      </c>
      <c r="E309">
        <v>1.028982410823813</v>
      </c>
      <c r="F309">
        <v>0.99464613352251874</v>
      </c>
      <c r="G309">
        <v>0.87142233239630684</v>
      </c>
      <c r="H309">
        <v>0.91661882835344333</v>
      </c>
      <c r="I309">
        <v>0.56328327121798205</v>
      </c>
      <c r="J309">
        <v>0.61117589008682593</v>
      </c>
      <c r="K309">
        <v>0.71513076498630834</v>
      </c>
    </row>
    <row r="310" spans="1:11" x14ac:dyDescent="0.3">
      <c r="A310" s="1" t="str">
        <f>HYPERLINK("[.\tse_pressure_data\2354.xlsx]2354!$A268","﻿鴻準            ")</f>
        <v xml:space="preserve">﻿鴻準            </v>
      </c>
      <c r="B310">
        <v>1.116176866274029</v>
      </c>
      <c r="C310">
        <v>1.1123763129852338</v>
      </c>
      <c r="D310">
        <v>1.0677511961722488</v>
      </c>
      <c r="E310">
        <v>0.95436089515595979</v>
      </c>
      <c r="F310">
        <v>0.86298854866816033</v>
      </c>
      <c r="G310">
        <v>0.86409523809523814</v>
      </c>
      <c r="H310">
        <v>0.95152094387502884</v>
      </c>
      <c r="I310">
        <v>0.96050968128285319</v>
      </c>
      <c r="J310">
        <v>0.95040326628961547</v>
      </c>
      <c r="K310">
        <v>1.0294913805385382</v>
      </c>
    </row>
    <row r="311" spans="1:11" x14ac:dyDescent="0.3">
      <c r="A311" s="1" t="str">
        <f>HYPERLINK("[.\tse_pressure_data\2355.xlsx]2355!$A268","﻿敬鵬            ")</f>
        <v xml:space="preserve">﻿敬鵬            </v>
      </c>
      <c r="B311">
        <v>1.656140350877193</v>
      </c>
      <c r="C311">
        <v>1.6551803707407122</v>
      </c>
      <c r="D311">
        <v>1.5792324711985961</v>
      </c>
      <c r="E311">
        <v>1.5811113687301956</v>
      </c>
      <c r="F311">
        <v>1.6551524667382862</v>
      </c>
      <c r="G311">
        <v>1.5166886979510905</v>
      </c>
      <c r="H311">
        <v>1.6000881057268723</v>
      </c>
      <c r="I311">
        <v>1.7378042722305018</v>
      </c>
      <c r="J311">
        <v>1.8139679255043972</v>
      </c>
      <c r="K311">
        <v>1.9642226148409894</v>
      </c>
    </row>
    <row r="312" spans="1:11" x14ac:dyDescent="0.3">
      <c r="A312" s="1" t="str">
        <f>HYPERLINK("[.\tse_pressure_data\2356.xlsx]2356!$A268","﻿英業達          ")</f>
        <v xml:space="preserve">﻿英業達          </v>
      </c>
      <c r="B312">
        <v>0.97626409520052115</v>
      </c>
      <c r="C312">
        <v>1.0343320153700506</v>
      </c>
      <c r="D312">
        <v>0.91400438577632537</v>
      </c>
      <c r="E312">
        <v>0.87565989639009945</v>
      </c>
      <c r="F312">
        <v>0.90485270687141939</v>
      </c>
      <c r="G312">
        <v>0.89392035017095439</v>
      </c>
      <c r="H312">
        <v>0.93997237569060776</v>
      </c>
      <c r="I312">
        <v>0.8989255265678493</v>
      </c>
      <c r="J312">
        <v>1.0385350318471338</v>
      </c>
      <c r="K312">
        <v>1.0274687527701445</v>
      </c>
    </row>
    <row r="313" spans="1:11" x14ac:dyDescent="0.3">
      <c r="A313" s="1" t="str">
        <f>HYPERLINK("[.\tse_pressure_data\2357.xlsx]2357!$A268","﻿華碩            ")</f>
        <v xml:space="preserve">﻿華碩            </v>
      </c>
      <c r="B313">
        <v>0.80261811129666538</v>
      </c>
      <c r="C313">
        <v>0.82603705525495985</v>
      </c>
      <c r="D313">
        <v>0.827052375840443</v>
      </c>
      <c r="E313">
        <v>0.81116705323301463</v>
      </c>
      <c r="F313">
        <v>0.78916593115622247</v>
      </c>
      <c r="G313">
        <v>0.82064327485380117</v>
      </c>
      <c r="H313">
        <v>0.81629800680602815</v>
      </c>
      <c r="I313">
        <v>0.79230672374716693</v>
      </c>
      <c r="J313">
        <v>0.88309800664451832</v>
      </c>
      <c r="K313">
        <v>0.91318191466779874</v>
      </c>
    </row>
    <row r="314" spans="1:11" x14ac:dyDescent="0.3">
      <c r="A314" s="1" t="str">
        <f>HYPERLINK("[.\tse_pressure_data\2358.xlsx]2358!$A268","﻿廷鑫            ")</f>
        <v xml:space="preserve">﻿廷鑫            </v>
      </c>
      <c r="B314">
        <v>0.79168648340150294</v>
      </c>
      <c r="C314">
        <v>0.76521405260126707</v>
      </c>
      <c r="D314">
        <v>0.8376709307454786</v>
      </c>
      <c r="E314">
        <v>0.77075015759613363</v>
      </c>
      <c r="F314">
        <v>0.76622304756009496</v>
      </c>
      <c r="G314">
        <v>0.73583576532152561</v>
      </c>
      <c r="H314">
        <v>0.79006794564348526</v>
      </c>
      <c r="I314">
        <v>0.85640207419226166</v>
      </c>
      <c r="J314">
        <v>0.84558387670420865</v>
      </c>
      <c r="K314">
        <v>0.87678847143592387</v>
      </c>
    </row>
    <row r="315" spans="1:11" x14ac:dyDescent="0.3">
      <c r="A315" s="1" t="str">
        <f>HYPERLINK("[.\tse_pressure_data\2359.xlsx]2359!$A268","﻿所羅門          ")</f>
        <v xml:space="preserve">﻿所羅門          </v>
      </c>
      <c r="B315">
        <v>0.95124561110182249</v>
      </c>
      <c r="C315">
        <v>1.0950314140892949</v>
      </c>
      <c r="D315">
        <v>0.89470323017383424</v>
      </c>
      <c r="E315">
        <v>0.89323318008159036</v>
      </c>
      <c r="F315">
        <v>0.86713385806484855</v>
      </c>
      <c r="G315">
        <v>0.82206300025819778</v>
      </c>
      <c r="H315">
        <v>0.86848040397736137</v>
      </c>
      <c r="I315">
        <v>0.92273694549026031</v>
      </c>
      <c r="J315">
        <v>0.89468683659684389</v>
      </c>
      <c r="K315">
        <v>0.89328454012896752</v>
      </c>
    </row>
    <row r="316" spans="1:11" x14ac:dyDescent="0.3">
      <c r="A316" s="1" t="str">
        <f>HYPERLINK("[.\tse_pressure_data\2360.xlsx]2360!$A268","﻿致茂            ")</f>
        <v xml:space="preserve">﻿致茂            </v>
      </c>
      <c r="B316">
        <v>1.2426458085359633</v>
      </c>
      <c r="C316">
        <v>1.1717918982684847</v>
      </c>
      <c r="D316">
        <v>1.1196397587375031</v>
      </c>
      <c r="E316">
        <v>1.1642516021062084</v>
      </c>
      <c r="F316">
        <v>1.0595901049361669</v>
      </c>
      <c r="G316">
        <v>1.1067012365376945</v>
      </c>
      <c r="H316">
        <v>1.0890284592737978</v>
      </c>
      <c r="I316">
        <v>1.1422642284775015</v>
      </c>
      <c r="J316">
        <v>1.1560657643444325</v>
      </c>
      <c r="K316">
        <v>1.1344343450738517</v>
      </c>
    </row>
    <row r="317" spans="1:11" x14ac:dyDescent="0.3">
      <c r="A317" s="1" t="str">
        <f>HYPERLINK("[.\tse_pressure_data\2362.xlsx]2362!$A268","﻿藍天            ")</f>
        <v xml:space="preserve">﻿藍天            </v>
      </c>
      <c r="B317">
        <v>1.0608213096559378</v>
      </c>
      <c r="C317">
        <v>1.1027456027456028</v>
      </c>
      <c r="D317">
        <v>1.1644398766700925</v>
      </c>
      <c r="E317">
        <v>0.9630227676408849</v>
      </c>
      <c r="F317">
        <v>0.91599045346062058</v>
      </c>
      <c r="G317">
        <v>0.9101777059773829</v>
      </c>
      <c r="H317">
        <v>1.0047343503419253</v>
      </c>
      <c r="I317">
        <v>1.0092543157145399</v>
      </c>
      <c r="J317">
        <v>1.005089058524173</v>
      </c>
      <c r="K317">
        <v>1.0083549944300036</v>
      </c>
    </row>
    <row r="318" spans="1:11" x14ac:dyDescent="0.3">
      <c r="A318" s="1" t="str">
        <f>HYPERLINK("[.\tse_pressure_data\2363.xlsx]2363!$A268","﻿矽統            ")</f>
        <v xml:space="preserve">﻿矽統            </v>
      </c>
      <c r="B318">
        <v>0.81775823814610893</v>
      </c>
      <c r="C318">
        <v>0.75168120183726816</v>
      </c>
      <c r="D318">
        <v>0.47173510122611917</v>
      </c>
      <c r="E318">
        <v>0.72758746621868375</v>
      </c>
      <c r="F318">
        <v>1.1373556797020483</v>
      </c>
      <c r="G318">
        <v>1.0563079116179614</v>
      </c>
      <c r="H318">
        <v>1.2458745874587458</v>
      </c>
      <c r="I318">
        <v>1.2808132570211632</v>
      </c>
      <c r="J318">
        <v>1.2939779984618986</v>
      </c>
      <c r="K318">
        <v>1.2880044403813504</v>
      </c>
    </row>
    <row r="319" spans="1:11" x14ac:dyDescent="0.3">
      <c r="A319" s="1" t="str">
        <f>HYPERLINK("[.\tse_pressure_data\2364.xlsx]2364!$A268","﻿倫飛            ")</f>
        <v xml:space="preserve">﻿倫飛            </v>
      </c>
      <c r="B319">
        <v>1.2577132486388385</v>
      </c>
      <c r="C319">
        <v>1.2304900181488203</v>
      </c>
      <c r="D319">
        <v>1.2837127845884413</v>
      </c>
      <c r="E319">
        <v>0.95691906005221927</v>
      </c>
      <c r="F319">
        <v>0.85602094240837701</v>
      </c>
      <c r="G319">
        <v>1.2368775235531628</v>
      </c>
      <c r="H319">
        <v>1.2610441767068272</v>
      </c>
      <c r="I319">
        <v>1.3642564802182811</v>
      </c>
      <c r="J319">
        <v>1.4189189189189189</v>
      </c>
      <c r="K319">
        <v>1.3766066838046271</v>
      </c>
    </row>
    <row r="320" spans="1:11" x14ac:dyDescent="0.3">
      <c r="A320" s="1" t="str">
        <f>HYPERLINK("[.\tse_pressure_data\2365.xlsx]2365!$A268","﻿昆盈            ")</f>
        <v xml:space="preserve">﻿昆盈            </v>
      </c>
      <c r="B320">
        <v>0.67002167853824712</v>
      </c>
      <c r="C320">
        <v>0.64804929743307949</v>
      </c>
      <c r="D320">
        <v>0.60998048508502922</v>
      </c>
      <c r="E320">
        <v>0.5743522573779215</v>
      </c>
      <c r="F320">
        <v>0.66469712015888782</v>
      </c>
      <c r="G320">
        <v>0.61226759891943427</v>
      </c>
      <c r="H320">
        <v>0.53517196625567809</v>
      </c>
      <c r="I320">
        <v>0.70768412252033142</v>
      </c>
      <c r="J320">
        <v>0.63280350149735087</v>
      </c>
      <c r="K320">
        <v>0.60780003256798565</v>
      </c>
    </row>
    <row r="321" spans="1:11" x14ac:dyDescent="0.3">
      <c r="A321" s="1" t="str">
        <f>HYPERLINK("[.\tse_pressure_data\2367.xlsx]2367!$A268","﻿燿華            ")</f>
        <v xml:space="preserve">﻿燿華            </v>
      </c>
      <c r="B321">
        <v>1.1081694754630884</v>
      </c>
      <c r="C321">
        <v>1.1757200850570269</v>
      </c>
      <c r="D321">
        <v>1.0640787725997192</v>
      </c>
      <c r="E321">
        <v>1.088965265456372</v>
      </c>
      <c r="F321">
        <v>1.1759842272247969</v>
      </c>
      <c r="G321">
        <v>1.1522608482514503</v>
      </c>
      <c r="H321">
        <v>1.3386179834642078</v>
      </c>
      <c r="I321">
        <v>1.3031993143149123</v>
      </c>
      <c r="J321">
        <v>1.232852916650526</v>
      </c>
      <c r="K321">
        <v>1.0636726766674909</v>
      </c>
    </row>
    <row r="322" spans="1:11" x14ac:dyDescent="0.3">
      <c r="A322" s="1" t="str">
        <f>HYPERLINK("[.\tse_pressure_data\2368.xlsx]2368!$A268","﻿金像電          ")</f>
        <v xml:space="preserve">﻿金像電          </v>
      </c>
      <c r="B322">
        <v>1.2263207714606874</v>
      </c>
      <c r="C322">
        <v>1.2389231794604305</v>
      </c>
      <c r="D322">
        <v>1.260527776966013</v>
      </c>
      <c r="E322">
        <v>1.230254768044889</v>
      </c>
      <c r="F322">
        <v>1.3418071842277954</v>
      </c>
      <c r="G322">
        <v>1.351312703769376</v>
      </c>
      <c r="H322">
        <v>1.422654220547515</v>
      </c>
      <c r="I322">
        <v>1.3684614164066218</v>
      </c>
      <c r="J322">
        <v>1.3152859759820883</v>
      </c>
      <c r="K322">
        <v>1.2570967669661461</v>
      </c>
    </row>
    <row r="323" spans="1:11" x14ac:dyDescent="0.3">
      <c r="A323" s="1" t="str">
        <f>HYPERLINK("[.\tse_pressure_data\2369.xlsx]2369!$A268","﻿菱生            ")</f>
        <v xml:space="preserve">﻿菱生            </v>
      </c>
      <c r="B323">
        <v>0.94588979223125569</v>
      </c>
      <c r="C323">
        <v>0.93491997873973898</v>
      </c>
      <c r="D323">
        <v>0.97280935413567649</v>
      </c>
      <c r="E323">
        <v>1.0150917030567685</v>
      </c>
      <c r="F323">
        <v>1.047732030704815</v>
      </c>
      <c r="G323">
        <v>1.0239810209798206</v>
      </c>
      <c r="H323">
        <v>1.0282952399740721</v>
      </c>
      <c r="I323">
        <v>0.97017029434983648</v>
      </c>
      <c r="J323">
        <v>0.81691836574449705</v>
      </c>
      <c r="K323">
        <v>0.82843890803074471</v>
      </c>
    </row>
    <row r="324" spans="1:11" x14ac:dyDescent="0.3">
      <c r="A324" s="1" t="str">
        <f>HYPERLINK("[.\tse_pressure_data\2371.xlsx]2371!$A268","﻿大同            ")</f>
        <v xml:space="preserve">﻿大同            </v>
      </c>
      <c r="B324">
        <v>0.74336972909434063</v>
      </c>
      <c r="C324">
        <v>0.71896693021829539</v>
      </c>
      <c r="D324">
        <v>0.71791576376173172</v>
      </c>
      <c r="E324">
        <v>0.71285608798725275</v>
      </c>
      <c r="F324">
        <v>0.71599366715256751</v>
      </c>
      <c r="G324">
        <v>0.61137841527298653</v>
      </c>
      <c r="H324">
        <v>0.58471734064604175</v>
      </c>
      <c r="I324">
        <v>0.56715658851650308</v>
      </c>
      <c r="J324">
        <v>0.62999745234011884</v>
      </c>
      <c r="K324">
        <v>0.63043163795527424</v>
      </c>
    </row>
    <row r="325" spans="1:11" x14ac:dyDescent="0.3">
      <c r="A325" s="1" t="str">
        <f>HYPERLINK("[.\tse_pressure_data\2373.xlsx]2373!$A268","﻿震旦行          ")</f>
        <v xml:space="preserve">﻿震旦行          </v>
      </c>
      <c r="B325">
        <v>0.63427464008859358</v>
      </c>
      <c r="C325">
        <v>0.57515337423312884</v>
      </c>
      <c r="D325">
        <v>0.53589806419995101</v>
      </c>
      <c r="E325">
        <v>0.56044776119402984</v>
      </c>
      <c r="F325">
        <v>0.58661025385764065</v>
      </c>
      <c r="G325">
        <v>0.60823731306692819</v>
      </c>
      <c r="H325">
        <v>0.62418221468378965</v>
      </c>
      <c r="I325">
        <v>0.62898203592814372</v>
      </c>
      <c r="J325">
        <v>0.64357864357864358</v>
      </c>
      <c r="K325">
        <v>0.68653648509763621</v>
      </c>
    </row>
    <row r="326" spans="1:11" x14ac:dyDescent="0.3">
      <c r="A326" s="1" t="str">
        <f>HYPERLINK("[.\tse_pressure_data\2374.xlsx]2374!$A268","﻿佳能            ")</f>
        <v xml:space="preserve">﻿佳能            </v>
      </c>
      <c r="B326">
        <v>0.76057445200302343</v>
      </c>
      <c r="C326">
        <v>0.72291121711032469</v>
      </c>
      <c r="D326">
        <v>0.79255952380952377</v>
      </c>
      <c r="E326">
        <v>0.88561127499180592</v>
      </c>
      <c r="F326">
        <v>0.92228541882109616</v>
      </c>
      <c r="G326">
        <v>0.89232812340382062</v>
      </c>
      <c r="H326">
        <v>0.95895956963008155</v>
      </c>
      <c r="I326">
        <v>0.93040632669757295</v>
      </c>
      <c r="J326">
        <v>0.95139158935614687</v>
      </c>
      <c r="K326">
        <v>0.9399417550414858</v>
      </c>
    </row>
    <row r="327" spans="1:11" x14ac:dyDescent="0.3">
      <c r="A327" s="1" t="str">
        <f>HYPERLINK("[.\tse_pressure_data\2375.xlsx]2375!$A268","﻿智寶            ")</f>
        <v xml:space="preserve">﻿智寶            </v>
      </c>
      <c r="B327">
        <v>1.0104550818704823</v>
      </c>
      <c r="C327">
        <v>0.89150318347823276</v>
      </c>
      <c r="D327">
        <v>0.85692331335484861</v>
      </c>
      <c r="E327">
        <v>0.88805706834394416</v>
      </c>
      <c r="F327">
        <v>0.87950458635577333</v>
      </c>
      <c r="G327">
        <v>0.69999169247932025</v>
      </c>
      <c r="H327">
        <v>0.72625738321102562</v>
      </c>
      <c r="I327">
        <v>0.67272272326722438</v>
      </c>
      <c r="J327">
        <v>0.6634300409711833</v>
      </c>
      <c r="K327">
        <v>0.61324731498112239</v>
      </c>
    </row>
    <row r="328" spans="1:11" x14ac:dyDescent="0.3">
      <c r="A328" s="1" t="str">
        <f>HYPERLINK("[.\tse_pressure_data\2376.xlsx]2376!$A268","﻿技嘉            ")</f>
        <v xml:space="preserve">﻿技嘉            </v>
      </c>
      <c r="B328">
        <v>0.73368676158739776</v>
      </c>
      <c r="C328">
        <v>0.6891792200894109</v>
      </c>
      <c r="D328">
        <v>0.69377943261873531</v>
      </c>
      <c r="E328">
        <v>0.72431182504735436</v>
      </c>
      <c r="F328">
        <v>0.67144844517184943</v>
      </c>
      <c r="G328">
        <v>0.70632954111492996</v>
      </c>
      <c r="H328">
        <v>0.74907116888291247</v>
      </c>
      <c r="I328">
        <v>0.70122390929850564</v>
      </c>
      <c r="J328">
        <v>0.7821099411107949</v>
      </c>
      <c r="K328">
        <v>0.84712485579909491</v>
      </c>
    </row>
    <row r="329" spans="1:11" x14ac:dyDescent="0.3">
      <c r="A329" s="1" t="str">
        <f>HYPERLINK("[.\tse_pressure_data\2377.xlsx]2377!$A268","﻿微星            ")</f>
        <v xml:space="preserve">﻿微星            </v>
      </c>
      <c r="B329">
        <v>0.9894707146472399</v>
      </c>
      <c r="C329">
        <v>0.87396768139964509</v>
      </c>
      <c r="D329">
        <v>0.65906935789758869</v>
      </c>
      <c r="E329">
        <v>0.73139963957779108</v>
      </c>
      <c r="F329">
        <v>0.74237623037798672</v>
      </c>
      <c r="G329">
        <v>0.72849536846361795</v>
      </c>
      <c r="H329">
        <v>0.74860492924998334</v>
      </c>
      <c r="I329">
        <v>0.748481764206955</v>
      </c>
      <c r="J329">
        <v>0.73309885323677593</v>
      </c>
      <c r="K329">
        <v>0.74004283792395387</v>
      </c>
    </row>
    <row r="330" spans="1:11" x14ac:dyDescent="0.3">
      <c r="A330" s="1" t="str">
        <f>HYPERLINK("[.\tse_pressure_data\2379.xlsx]2379!$A268","﻿瑞昱            ")</f>
        <v xml:space="preserve">﻿瑞昱            </v>
      </c>
      <c r="B330">
        <v>0.94707356626861272</v>
      </c>
      <c r="C330">
        <v>0.82542799597180261</v>
      </c>
      <c r="D330">
        <v>0.77337470749821957</v>
      </c>
      <c r="E330">
        <v>0.68735821818931742</v>
      </c>
      <c r="F330">
        <v>0.73768562622583356</v>
      </c>
      <c r="G330">
        <v>0.73151143979662581</v>
      </c>
      <c r="H330">
        <v>0.76601953311100524</v>
      </c>
      <c r="I330">
        <v>0.68952957155204342</v>
      </c>
      <c r="J330">
        <v>0.67973692452239276</v>
      </c>
      <c r="K330">
        <v>0.64309399311312332</v>
      </c>
    </row>
    <row r="331" spans="1:11" x14ac:dyDescent="0.3">
      <c r="A331" s="1" t="str">
        <f>HYPERLINK("[.\tse_pressure_data\2380.xlsx]2380!$A268","﻿虹光            ")</f>
        <v xml:space="preserve">﻿虹光            </v>
      </c>
      <c r="B331">
        <v>1.1241272304111714</v>
      </c>
      <c r="C331">
        <v>1.1198853270784468</v>
      </c>
      <c r="D331">
        <v>1.0043739748496445</v>
      </c>
      <c r="E331">
        <v>0.98764769065520941</v>
      </c>
      <c r="F331">
        <v>1.0124412496544097</v>
      </c>
      <c r="G331">
        <v>0.99224598930481278</v>
      </c>
      <c r="H331">
        <v>0.98559455212152958</v>
      </c>
      <c r="I331">
        <v>0.94350842418235881</v>
      </c>
      <c r="J331">
        <v>1.0121984277582001</v>
      </c>
      <c r="K331">
        <v>0.98468271334792123</v>
      </c>
    </row>
    <row r="332" spans="1:11" x14ac:dyDescent="0.3">
      <c r="A332" s="1" t="str">
        <f>HYPERLINK("[.\tse_pressure_data\2382.xlsx]2382!$A268","﻿廣達            ")</f>
        <v xml:space="preserve">﻿廣達            </v>
      </c>
      <c r="B332">
        <v>0.96409319991235121</v>
      </c>
      <c r="C332">
        <v>0.9130839331162256</v>
      </c>
      <c r="D332">
        <v>0.88631396643437388</v>
      </c>
      <c r="E332">
        <v>0.87312630956858106</v>
      </c>
      <c r="F332">
        <v>0.81713062098501066</v>
      </c>
      <c r="G332">
        <v>0.85320838809210897</v>
      </c>
      <c r="H332">
        <v>0.85038773509225418</v>
      </c>
      <c r="I332">
        <v>0.79062193742932529</v>
      </c>
      <c r="J332">
        <v>0.76709012060008885</v>
      </c>
      <c r="K332">
        <v>0.83372215285535911</v>
      </c>
    </row>
    <row r="333" spans="1:11" x14ac:dyDescent="0.3">
      <c r="A333" s="1" t="str">
        <f>HYPERLINK("[.\tse_pressure_data\2383.xlsx]2383!$A268","﻿台光電          ")</f>
        <v xml:space="preserve">﻿台光電          </v>
      </c>
      <c r="B333">
        <v>1.1969290673327702</v>
      </c>
      <c r="C333">
        <v>1.1733152325257588</v>
      </c>
      <c r="D333">
        <v>1.0326366453484539</v>
      </c>
      <c r="E333">
        <v>0.98924487349768375</v>
      </c>
      <c r="F333">
        <v>0.97305083170709039</v>
      </c>
      <c r="G333">
        <v>0.89289737356969234</v>
      </c>
      <c r="H333">
        <v>0.97822075682870024</v>
      </c>
      <c r="I333">
        <v>0.95818940918511397</v>
      </c>
      <c r="J333">
        <v>1.1357824365548128</v>
      </c>
      <c r="K333">
        <v>1.148723640399556</v>
      </c>
    </row>
    <row r="334" spans="1:11" x14ac:dyDescent="0.3">
      <c r="A334" s="1" t="str">
        <f>HYPERLINK("[.\tse_pressure_data\2385.xlsx]2385!$A268","﻿群光            ")</f>
        <v xml:space="preserve">﻿群光            </v>
      </c>
      <c r="B334">
        <v>0.85977378190255216</v>
      </c>
      <c r="C334">
        <v>0.95561357702349869</v>
      </c>
      <c r="D334">
        <v>0.95183558205208663</v>
      </c>
      <c r="E334">
        <v>0.87124202854539934</v>
      </c>
      <c r="F334">
        <v>0.84975184238231316</v>
      </c>
      <c r="G334">
        <v>0.78559095903311882</v>
      </c>
      <c r="H334">
        <v>0.87732211706975116</v>
      </c>
      <c r="I334">
        <v>0.90377428998505227</v>
      </c>
      <c r="J334">
        <v>0.95142513046969091</v>
      </c>
      <c r="K334">
        <v>0.9641490433031219</v>
      </c>
    </row>
    <row r="335" spans="1:11" x14ac:dyDescent="0.3">
      <c r="A335" s="1" t="str">
        <f>HYPERLINK("[.\tse_pressure_data\2387.xlsx]2387!$A268","﻿精元            ")</f>
        <v xml:space="preserve">﻿精元            </v>
      </c>
      <c r="B335">
        <v>0.58205534990304952</v>
      </c>
      <c r="C335">
        <v>0.57636489288182446</v>
      </c>
      <c r="D335">
        <v>0.58544248559958112</v>
      </c>
      <c r="E335">
        <v>0.58106243532252499</v>
      </c>
      <c r="F335">
        <v>0.57766345834716226</v>
      </c>
      <c r="G335">
        <v>0.50236008091705997</v>
      </c>
      <c r="H335">
        <v>0.42498737161138239</v>
      </c>
      <c r="I335">
        <v>1.0672920065252856</v>
      </c>
      <c r="J335">
        <v>1.0473640856672157</v>
      </c>
      <c r="K335">
        <v>1.0536445536445536</v>
      </c>
    </row>
    <row r="336" spans="1:11" x14ac:dyDescent="0.3">
      <c r="A336" s="1" t="str">
        <f>HYPERLINK("[.\tse_pressure_data\2388.xlsx]2388!$A268","﻿威盛            ")</f>
        <v xml:space="preserve">﻿威盛            </v>
      </c>
      <c r="B336">
        <v>0.75230627306273068</v>
      </c>
      <c r="C336">
        <v>0.82074558622300842</v>
      </c>
      <c r="D336">
        <v>0.52909999664553353</v>
      </c>
      <c r="E336">
        <v>0.59248458590234965</v>
      </c>
      <c r="F336">
        <v>0.71945676874797104</v>
      </c>
      <c r="G336">
        <v>0.38429231415371695</v>
      </c>
      <c r="H336">
        <v>1.0818843810373013</v>
      </c>
      <c r="I336">
        <v>1.5145061210799933</v>
      </c>
      <c r="J336">
        <v>0.88724035608308605</v>
      </c>
      <c r="K336">
        <v>0.87045153399245745</v>
      </c>
    </row>
    <row r="337" spans="1:11" x14ac:dyDescent="0.3">
      <c r="A337" s="1" t="str">
        <f>HYPERLINK("[.\tse_pressure_data\2390.xlsx]2390!$A268","﻿云辰            ")</f>
        <v xml:space="preserve">﻿云辰            </v>
      </c>
      <c r="B337">
        <v>0.80487224250119027</v>
      </c>
      <c r="C337">
        <v>0.82140867489056901</v>
      </c>
      <c r="D337">
        <v>0.80159097930182266</v>
      </c>
      <c r="E337">
        <v>0.77610784009916334</v>
      </c>
      <c r="F337">
        <v>0.78388736800938597</v>
      </c>
      <c r="G337">
        <v>0.76405193189769105</v>
      </c>
      <c r="H337">
        <v>0.77059144393360868</v>
      </c>
      <c r="I337">
        <v>0.76511700958065021</v>
      </c>
      <c r="J337">
        <v>0.72413255360623785</v>
      </c>
      <c r="K337">
        <v>0.73422607325718792</v>
      </c>
    </row>
    <row r="338" spans="1:11" x14ac:dyDescent="0.3">
      <c r="A338" s="1" t="str">
        <f>HYPERLINK("[.\tse_pressure_data\2392.xlsx]2392!$A268","﻿正崴            ")</f>
        <v xml:space="preserve">﻿正崴            </v>
      </c>
      <c r="B338">
        <v>2.0385151807745951</v>
      </c>
      <c r="C338">
        <v>1.8134226884226885</v>
      </c>
      <c r="D338">
        <v>2.0634937460250158</v>
      </c>
      <c r="E338">
        <v>2.1843111548126299</v>
      </c>
      <c r="F338">
        <v>2.0359945589620172</v>
      </c>
      <c r="G338">
        <v>2.0095638465580663</v>
      </c>
      <c r="H338">
        <v>2.1591691777873439</v>
      </c>
      <c r="I338">
        <v>2.3114455084359324</v>
      </c>
      <c r="J338">
        <v>2.2860750774882335</v>
      </c>
      <c r="K338">
        <v>2.3477275438387211</v>
      </c>
    </row>
    <row r="339" spans="1:11" x14ac:dyDescent="0.3">
      <c r="A339" s="1" t="str">
        <f>HYPERLINK("[.\tse_pressure_data\2393.xlsx]2393!$A268","﻿億光            ")</f>
        <v xml:space="preserve">﻿億光            </v>
      </c>
      <c r="B339">
        <v>0.95497080700631853</v>
      </c>
      <c r="C339">
        <v>1.1841166275869099</v>
      </c>
      <c r="D339">
        <v>1.1386483527421121</v>
      </c>
      <c r="E339">
        <v>0.96622458001768352</v>
      </c>
      <c r="F339">
        <v>0.95092238078663416</v>
      </c>
      <c r="G339">
        <v>0.97330308846623625</v>
      </c>
      <c r="H339">
        <v>0.97743562516591453</v>
      </c>
      <c r="I339">
        <v>0.93681609601129545</v>
      </c>
      <c r="J339">
        <v>0.99434203321774051</v>
      </c>
      <c r="K339">
        <v>0.97362519063425135</v>
      </c>
    </row>
    <row r="340" spans="1:11" x14ac:dyDescent="0.3">
      <c r="A340" s="1" t="str">
        <f>HYPERLINK("[.\tse_pressure_data\2395.xlsx]2395!$A268","﻿研華            ")</f>
        <v xml:space="preserve">﻿研華            </v>
      </c>
      <c r="B340">
        <v>0.76462121212121215</v>
      </c>
      <c r="C340">
        <v>0.7577076532462822</v>
      </c>
      <c r="D340">
        <v>0.7038959241574978</v>
      </c>
      <c r="E340">
        <v>0.65793528505392918</v>
      </c>
      <c r="F340">
        <v>0.66131416285944633</v>
      </c>
      <c r="G340">
        <v>0.65308205197986124</v>
      </c>
      <c r="H340">
        <v>0.64263041678167265</v>
      </c>
      <c r="I340">
        <v>0.63921651221566977</v>
      </c>
      <c r="J340">
        <v>0.65416103082508725</v>
      </c>
      <c r="K340">
        <v>0.64757952973720612</v>
      </c>
    </row>
    <row r="341" spans="1:11" x14ac:dyDescent="0.3">
      <c r="A341" s="1" t="str">
        <f>HYPERLINK("[.\tse_pressure_data\2397.xlsx]2397!$A268","﻿友通            ")</f>
        <v xml:space="preserve">﻿友通            </v>
      </c>
      <c r="B341">
        <v>1.0690537084398977</v>
      </c>
      <c r="C341">
        <v>1.0994897959183674</v>
      </c>
      <c r="D341">
        <v>1.1173469387755102</v>
      </c>
      <c r="E341">
        <v>1.0864197530864197</v>
      </c>
      <c r="F341">
        <v>1.0874999999999999</v>
      </c>
      <c r="G341">
        <v>1.0701754385964912</v>
      </c>
      <c r="H341">
        <v>1.1154791154791155</v>
      </c>
      <c r="I341">
        <v>1.0785219399538106</v>
      </c>
      <c r="J341">
        <v>1.0714285714285714</v>
      </c>
      <c r="K341">
        <v>1.0346534653465347</v>
      </c>
    </row>
    <row r="342" spans="1:11" x14ac:dyDescent="0.3">
      <c r="A342" s="1" t="str">
        <f>HYPERLINK("[.\tse_pressure_data\2399.xlsx]2399!$A268","﻿映泰            ")</f>
        <v xml:space="preserve">﻿映泰            </v>
      </c>
      <c r="B342">
        <v>0.6196516864139533</v>
      </c>
      <c r="C342">
        <v>0.63442083618917067</v>
      </c>
      <c r="D342">
        <v>0.57409557776579712</v>
      </c>
      <c r="E342">
        <v>0.59989472361019458</v>
      </c>
      <c r="F342">
        <v>0.58801759367153006</v>
      </c>
      <c r="G342">
        <v>0.56405375043948791</v>
      </c>
      <c r="H342">
        <v>0.54352941176470593</v>
      </c>
      <c r="I342">
        <v>0.42348252903727462</v>
      </c>
      <c r="J342">
        <v>0.6589871886512344</v>
      </c>
      <c r="K342">
        <v>0.75361225422953815</v>
      </c>
    </row>
    <row r="343" spans="1:11" x14ac:dyDescent="0.3">
      <c r="A343" s="1" t="str">
        <f>HYPERLINK("[.\tse_pressure_data\2401.xlsx]2401!$A268","﻿凌陽            ")</f>
        <v xml:space="preserve">﻿凌陽            </v>
      </c>
      <c r="B343">
        <v>0.70658581924404706</v>
      </c>
      <c r="C343">
        <v>0.71746797178638266</v>
      </c>
      <c r="D343">
        <v>0.69530684468752513</v>
      </c>
      <c r="E343">
        <v>0.63047656241970795</v>
      </c>
      <c r="F343">
        <v>0.62586931965104731</v>
      </c>
      <c r="G343">
        <v>0.84637968908415007</v>
      </c>
      <c r="H343">
        <v>1.0704581848235963</v>
      </c>
      <c r="I343">
        <v>1.0748569487628354</v>
      </c>
      <c r="J343">
        <v>1.0161750464574555</v>
      </c>
      <c r="K343">
        <v>1.0349578047281061</v>
      </c>
    </row>
    <row r="344" spans="1:11" x14ac:dyDescent="0.3">
      <c r="A344" s="1" t="str">
        <f>HYPERLINK("[.\tse_pressure_data\2402.xlsx]2402!$A268","﻿毅嘉            ")</f>
        <v xml:space="preserve">﻿毅嘉            </v>
      </c>
      <c r="B344">
        <v>1.0310157961489681</v>
      </c>
      <c r="C344">
        <v>1.0044627914760682</v>
      </c>
      <c r="D344">
        <v>0.91213527851458887</v>
      </c>
      <c r="E344">
        <v>1.0906839135819457</v>
      </c>
      <c r="F344">
        <v>1.0013951866062085</v>
      </c>
      <c r="G344">
        <v>1.084073040831854</v>
      </c>
      <c r="H344">
        <v>1.164572192513369</v>
      </c>
      <c r="I344">
        <v>1.1368337311058074</v>
      </c>
      <c r="J344">
        <v>1.0654957921697767</v>
      </c>
      <c r="K344">
        <v>1.0124045801526718</v>
      </c>
    </row>
    <row r="345" spans="1:11" x14ac:dyDescent="0.3">
      <c r="A345" s="1" t="str">
        <f>HYPERLINK("[.\tse_pressure_data\2404.xlsx]2404!$A268","﻿漢唐            ")</f>
        <v xml:space="preserve">﻿漢唐            </v>
      </c>
      <c r="B345">
        <v>1.2144439521488701</v>
      </c>
      <c r="C345">
        <v>1.1656378600823045</v>
      </c>
      <c r="D345">
        <v>1.0437217705510389</v>
      </c>
      <c r="E345">
        <v>1.0166756320602475</v>
      </c>
      <c r="F345">
        <v>0.95643224699828477</v>
      </c>
      <c r="G345">
        <v>0.90434782608695652</v>
      </c>
      <c r="H345">
        <v>0.92525732383214565</v>
      </c>
      <c r="I345">
        <v>0.80768624980311865</v>
      </c>
      <c r="J345">
        <v>0.91170858629661755</v>
      </c>
      <c r="K345">
        <v>0.96590080233406272</v>
      </c>
    </row>
    <row r="346" spans="1:11" x14ac:dyDescent="0.3">
      <c r="A346" s="1" t="str">
        <f>HYPERLINK("[.\tse_pressure_data\2405.xlsx]2405!$A268","﻿浩鑫            ")</f>
        <v xml:space="preserve">﻿浩鑫            </v>
      </c>
      <c r="B346">
        <v>1.0128038665547114</v>
      </c>
      <c r="C346">
        <v>1.0089563974560063</v>
      </c>
      <c r="D346">
        <v>1.0505009715379754</v>
      </c>
      <c r="E346">
        <v>1.1443305892963369</v>
      </c>
      <c r="F346">
        <v>1.019688026278492</v>
      </c>
      <c r="G346">
        <v>0.98910712614493179</v>
      </c>
      <c r="H346">
        <v>1.0322829786973204</v>
      </c>
      <c r="I346">
        <v>1.0183523768654172</v>
      </c>
      <c r="J346">
        <v>1.116938164893617</v>
      </c>
      <c r="K346">
        <v>1.1718608084696054</v>
      </c>
    </row>
    <row r="347" spans="1:11" x14ac:dyDescent="0.3">
      <c r="A347" s="1" t="str">
        <f>HYPERLINK("[.\tse_pressure_data\2406.xlsx]2406!$A268","﻿國碩            ")</f>
        <v xml:space="preserve">﻿國碩            </v>
      </c>
      <c r="B347">
        <v>1.3039731929152705</v>
      </c>
      <c r="C347">
        <v>1.2405138486671121</v>
      </c>
      <c r="D347">
        <v>1.2381814069215109</v>
      </c>
      <c r="E347">
        <v>1.207390817469205</v>
      </c>
      <c r="F347">
        <v>1.3070265166417498</v>
      </c>
      <c r="G347">
        <v>1.2403369282846572</v>
      </c>
      <c r="H347">
        <v>1.2628854206318996</v>
      </c>
      <c r="I347">
        <v>1.2900591163658992</v>
      </c>
      <c r="J347">
        <v>1.3007535795026375</v>
      </c>
      <c r="K347">
        <v>1.0022709648831285</v>
      </c>
    </row>
    <row r="348" spans="1:11" x14ac:dyDescent="0.3">
      <c r="A348" s="1" t="str">
        <f>HYPERLINK("[.\tse_pressure_data\2408.xlsx]2408!$A268","﻿南亞科          ")</f>
        <v xml:space="preserve">﻿南亞科          </v>
      </c>
      <c r="B348">
        <v>1.3131421808596482</v>
      </c>
      <c r="C348">
        <v>1.26323839077912</v>
      </c>
      <c r="D348">
        <v>1.2295923546558001</v>
      </c>
      <c r="E348">
        <v>1.1770320844371558</v>
      </c>
      <c r="F348">
        <v>1.1382670672245543</v>
      </c>
      <c r="G348">
        <v>1.0774820996791674</v>
      </c>
      <c r="H348">
        <v>1.1348085234216581</v>
      </c>
      <c r="I348">
        <v>1.1411788339117364</v>
      </c>
      <c r="J348">
        <v>1.1591500127201289</v>
      </c>
      <c r="K348">
        <v>1.1318820861678005</v>
      </c>
    </row>
    <row r="349" spans="1:11" x14ac:dyDescent="0.3">
      <c r="A349" s="1" t="str">
        <f>HYPERLINK("[.\tse_pressure_data\2409.xlsx]2409!$A268","﻿友達            ")</f>
        <v xml:space="preserve">﻿友達            </v>
      </c>
      <c r="B349">
        <v>0.79042107438792952</v>
      </c>
      <c r="C349">
        <v>0.82738821991213041</v>
      </c>
      <c r="D349">
        <v>0.74648374230494763</v>
      </c>
      <c r="E349">
        <v>0.71078058891840967</v>
      </c>
      <c r="F349">
        <v>0.71925043465406036</v>
      </c>
      <c r="G349">
        <v>0.73079876794259468</v>
      </c>
      <c r="H349">
        <v>0.84275704445532407</v>
      </c>
      <c r="I349">
        <v>0.72609681802922699</v>
      </c>
      <c r="J349">
        <v>0.85769332211743299</v>
      </c>
      <c r="K349">
        <v>0.92447741296499064</v>
      </c>
    </row>
    <row r="350" spans="1:11" x14ac:dyDescent="0.3">
      <c r="A350" s="1" t="str">
        <f>HYPERLINK("[.\tse_pressure_data\2412.xlsx]2412!$A268","﻿中華電          ")</f>
        <v xml:space="preserve">﻿中華電          </v>
      </c>
      <c r="B350">
        <v>1.0291068109292905</v>
      </c>
      <c r="C350">
        <v>1.0104803765057118</v>
      </c>
      <c r="D350">
        <v>0.88043786623362652</v>
      </c>
      <c r="E350">
        <v>0.85108805790108566</v>
      </c>
      <c r="F350">
        <v>0.87163243660206347</v>
      </c>
      <c r="G350">
        <v>0.85984239846824395</v>
      </c>
      <c r="H350">
        <v>0.80429801615336149</v>
      </c>
      <c r="I350">
        <v>0.82173860378729757</v>
      </c>
      <c r="J350">
        <v>0.79486144876075571</v>
      </c>
      <c r="K350">
        <v>0.89402173913043481</v>
      </c>
    </row>
    <row r="351" spans="1:11" x14ac:dyDescent="0.3">
      <c r="A351" s="1" t="str">
        <f>HYPERLINK("[.\tse_pressure_data\2413.xlsx]2413!$A268","﻿環科            ")</f>
        <v xml:space="preserve">﻿環科            </v>
      </c>
      <c r="B351">
        <v>1.8532272325375774</v>
      </c>
      <c r="C351">
        <v>1.4517896900154137</v>
      </c>
      <c r="D351">
        <v>1.3777742039240914</v>
      </c>
      <c r="E351">
        <v>1.3408385093167703</v>
      </c>
      <c r="F351">
        <v>1.3365162482673649</v>
      </c>
      <c r="G351">
        <v>1.3173753441419394</v>
      </c>
      <c r="H351">
        <v>1.4103310852237891</v>
      </c>
      <c r="I351">
        <v>1.2700729927007299</v>
      </c>
      <c r="J351">
        <v>1.0760071221900736</v>
      </c>
      <c r="K351">
        <v>1.1077283372365339</v>
      </c>
    </row>
    <row r="352" spans="1:11" x14ac:dyDescent="0.3">
      <c r="A352" s="1" t="str">
        <f>HYPERLINK("[.\tse_pressure_data\2414.xlsx]2414!$A268","﻿精技            ")</f>
        <v xml:space="preserve">﻿精技            </v>
      </c>
      <c r="B352">
        <v>0.96561135371179041</v>
      </c>
      <c r="C352">
        <v>0.95123287671232881</v>
      </c>
      <c r="D352">
        <v>0.8</v>
      </c>
      <c r="E352">
        <v>0.94006514657980456</v>
      </c>
      <c r="F352">
        <v>1.0432190760059612</v>
      </c>
      <c r="G352">
        <v>1.0516576715497301</v>
      </c>
      <c r="H352">
        <v>1.0885579937304075</v>
      </c>
      <c r="I352">
        <v>1.0084420567920185</v>
      </c>
      <c r="J352">
        <v>0.93865484109386543</v>
      </c>
      <c r="K352">
        <v>0.85986793837123987</v>
      </c>
    </row>
    <row r="353" spans="1:11" x14ac:dyDescent="0.3">
      <c r="A353" s="1" t="str">
        <f>HYPERLINK("[.\tse_pressure_data\2415.xlsx]2415!$A268","﻿錩新            ")</f>
        <v xml:space="preserve">﻿錩新            </v>
      </c>
      <c r="B353">
        <v>1.3344566133108677</v>
      </c>
      <c r="C353">
        <v>1.231916480238628</v>
      </c>
      <c r="D353">
        <v>1.1877729257641922</v>
      </c>
      <c r="E353">
        <v>1.1899696048632218</v>
      </c>
      <c r="F353">
        <v>1.1623231571109456</v>
      </c>
      <c r="G353">
        <v>1.1704966641957004</v>
      </c>
      <c r="H353">
        <v>1.2317073170731707</v>
      </c>
      <c r="I353">
        <v>1.1714066102997693</v>
      </c>
      <c r="J353">
        <v>1.1713632901751714</v>
      </c>
      <c r="K353">
        <v>1.1780185758513932</v>
      </c>
    </row>
    <row r="354" spans="1:11" x14ac:dyDescent="0.3">
      <c r="A354" s="1" t="str">
        <f>HYPERLINK("[.\tse_pressure_data\2417.xlsx]2417!$A268","﻿圓剛            ")</f>
        <v xml:space="preserve">﻿圓剛            </v>
      </c>
      <c r="B354">
        <v>0.73409061572221501</v>
      </c>
      <c r="C354">
        <v>0.66193994280266921</v>
      </c>
      <c r="D354">
        <v>0.57148541302525191</v>
      </c>
      <c r="E354">
        <v>0.67673016041456646</v>
      </c>
      <c r="F354">
        <v>0.73768709596008619</v>
      </c>
      <c r="G354">
        <v>0.70825842481735068</v>
      </c>
      <c r="H354">
        <v>0.71584005625769143</v>
      </c>
      <c r="I354">
        <v>0.69904508290511158</v>
      </c>
      <c r="J354">
        <v>0.66109412745580087</v>
      </c>
      <c r="K354">
        <v>0.82638690101333945</v>
      </c>
    </row>
    <row r="355" spans="1:11" x14ac:dyDescent="0.3">
      <c r="A355" s="1" t="str">
        <f>HYPERLINK("[.\tse_pressure_data\2419.xlsx]2419!$A268","﻿仲琦            ")</f>
        <v xml:space="preserve">﻿仲琦            </v>
      </c>
      <c r="B355">
        <v>1.3694445858575575</v>
      </c>
      <c r="C355">
        <v>1.193587002992732</v>
      </c>
      <c r="D355">
        <v>1.1612173985850045</v>
      </c>
      <c r="E355">
        <v>1.1587190372171619</v>
      </c>
      <c r="F355">
        <v>1.2150122210833398</v>
      </c>
      <c r="G355">
        <v>1.1427487000417504</v>
      </c>
      <c r="H355">
        <v>1.159292364990689</v>
      </c>
      <c r="I355">
        <v>1.1663975337639461</v>
      </c>
      <c r="J355">
        <v>1.1744521337946943</v>
      </c>
      <c r="K355">
        <v>0.97558993498675661</v>
      </c>
    </row>
    <row r="356" spans="1:11" x14ac:dyDescent="0.3">
      <c r="A356" s="1" t="str">
        <f>HYPERLINK("[.\tse_pressure_data\2420.xlsx]2420!$A268","﻿新巨            ")</f>
        <v xml:space="preserve">﻿新巨            </v>
      </c>
      <c r="B356">
        <v>1.6608863198458574</v>
      </c>
      <c r="C356">
        <v>1.6679425837320574</v>
      </c>
      <c r="D356">
        <v>1.6205440900562851</v>
      </c>
      <c r="E356">
        <v>1.6237113402061856</v>
      </c>
      <c r="F356">
        <v>1.4657724329324699</v>
      </c>
      <c r="G356">
        <v>1.4784442361761949</v>
      </c>
      <c r="H356">
        <v>1.4519185220274751</v>
      </c>
      <c r="I356">
        <v>1.4842421210605303</v>
      </c>
      <c r="J356">
        <v>1.4888888888888889</v>
      </c>
      <c r="K356">
        <v>1.3808808808808808</v>
      </c>
    </row>
    <row r="357" spans="1:11" x14ac:dyDescent="0.3">
      <c r="A357" s="1" t="str">
        <f>HYPERLINK("[.\tse_pressure_data\2421.xlsx]2421!$A268","﻿建準            ")</f>
        <v xml:space="preserve">﻿建準            </v>
      </c>
      <c r="B357">
        <v>0.86702298765248809</v>
      </c>
      <c r="C357">
        <v>0.89022801302931598</v>
      </c>
      <c r="D357">
        <v>0.90178938708350476</v>
      </c>
      <c r="E357">
        <v>0.88081643543223054</v>
      </c>
      <c r="F357">
        <v>0.76944498593667321</v>
      </c>
      <c r="G357">
        <v>0.86903440621531636</v>
      </c>
      <c r="H357">
        <v>1.0578034682080926</v>
      </c>
      <c r="I357">
        <v>0.98438125750901084</v>
      </c>
      <c r="J357">
        <v>1.056213312108248</v>
      </c>
      <c r="K357">
        <v>1.1586300625169883</v>
      </c>
    </row>
    <row r="358" spans="1:11" x14ac:dyDescent="0.3">
      <c r="A358" s="1" t="str">
        <f>HYPERLINK("[.\tse_pressure_data\2423.xlsx]2423!$A268","﻿固緯            ")</f>
        <v xml:space="preserve">﻿固緯            </v>
      </c>
      <c r="B358">
        <v>1.1619797525309337</v>
      </c>
      <c r="C358">
        <v>1.1342794759825328</v>
      </c>
      <c r="D358">
        <v>1.0912906610703044</v>
      </c>
      <c r="E358">
        <v>1.0568862275449102</v>
      </c>
      <c r="F358">
        <v>0.97207207207207202</v>
      </c>
      <c r="G358">
        <v>0.98149779735682818</v>
      </c>
      <c r="H358">
        <v>0.96768236380424744</v>
      </c>
      <c r="I358">
        <v>0.94490358126721763</v>
      </c>
      <c r="J358">
        <v>0.90676416819012795</v>
      </c>
      <c r="K358">
        <v>0.90744101633393826</v>
      </c>
    </row>
    <row r="359" spans="1:11" x14ac:dyDescent="0.3">
      <c r="A359" s="1" t="str">
        <f>HYPERLINK("[.\tse_pressure_data\2424.xlsx]2424!$A268","﻿隴華            ")</f>
        <v xml:space="preserve">﻿隴華            </v>
      </c>
      <c r="B359">
        <v>0.98369565217391308</v>
      </c>
      <c r="C359">
        <v>1.0054054054054054</v>
      </c>
      <c r="D359">
        <v>1.0216216216216216</v>
      </c>
      <c r="E359">
        <v>1.0588235294117647</v>
      </c>
      <c r="F359">
        <v>0.96279069767441861</v>
      </c>
      <c r="G359">
        <v>0.89224137931034486</v>
      </c>
      <c r="H359">
        <v>1.0175438596491229</v>
      </c>
      <c r="I359">
        <v>1.2448132780082988</v>
      </c>
      <c r="J359">
        <v>0.65582191780821919</v>
      </c>
      <c r="K359">
        <v>0.55426917510853835</v>
      </c>
    </row>
    <row r="360" spans="1:11" x14ac:dyDescent="0.3">
      <c r="A360" s="1" t="str">
        <f>HYPERLINK("[.\tse_pressure_data\2425.xlsx]2425!$A268","﻿承啟            ")</f>
        <v xml:space="preserve">﻿承啟            </v>
      </c>
      <c r="B360">
        <v>0.58332873004474395</v>
      </c>
      <c r="C360">
        <v>0.58315665488810364</v>
      </c>
      <c r="D360">
        <v>0.62202516789463391</v>
      </c>
      <c r="E360">
        <v>0.65262039660056659</v>
      </c>
      <c r="F360">
        <v>0.61404037360650798</v>
      </c>
      <c r="G360">
        <v>0.56055445544554461</v>
      </c>
      <c r="H360">
        <v>0.60831822951445202</v>
      </c>
      <c r="I360">
        <v>0.58078689834232078</v>
      </c>
      <c r="J360">
        <v>0.52247741373680201</v>
      </c>
      <c r="K360">
        <v>0.27471286010167578</v>
      </c>
    </row>
    <row r="361" spans="1:11" x14ac:dyDescent="0.3">
      <c r="A361" s="1" t="str">
        <f>HYPERLINK("[.\tse_pressure_data\2426.xlsx]2426!$A268","﻿鼎元            ")</f>
        <v xml:space="preserve">﻿鼎元            </v>
      </c>
      <c r="B361">
        <v>0.95542708123603803</v>
      </c>
      <c r="C361">
        <v>0.95912407361305274</v>
      </c>
      <c r="D361">
        <v>0.95119274809160304</v>
      </c>
      <c r="E361">
        <v>0.96026889597517884</v>
      </c>
      <c r="F361">
        <v>0.96438146304098049</v>
      </c>
      <c r="G361">
        <v>0.89508470225872694</v>
      </c>
      <c r="H361">
        <v>0.89819511292114029</v>
      </c>
      <c r="I361">
        <v>0.83886795920242585</v>
      </c>
      <c r="J361">
        <v>0.80430770876608038</v>
      </c>
      <c r="K361">
        <v>0.83398462820631536</v>
      </c>
    </row>
    <row r="362" spans="1:11" x14ac:dyDescent="0.3">
      <c r="A362" s="1" t="str">
        <f>HYPERLINK("[.\tse_pressure_data\2427.xlsx]2427!$A268","﻿三商電          ")</f>
        <v xml:space="preserve">﻿三商電          </v>
      </c>
      <c r="B362">
        <v>0.73565496919367801</v>
      </c>
      <c r="C362">
        <v>0.74883198136587081</v>
      </c>
      <c r="D362">
        <v>0.72731251025655053</v>
      </c>
      <c r="E362">
        <v>0.71763196330826251</v>
      </c>
      <c r="F362">
        <v>0.71192301909487299</v>
      </c>
      <c r="G362">
        <v>0.69391955868428634</v>
      </c>
      <c r="H362">
        <v>0.69419023277544178</v>
      </c>
      <c r="I362">
        <v>0.66042732049036779</v>
      </c>
      <c r="J362">
        <v>0.6646608873023967</v>
      </c>
      <c r="K362">
        <v>0.6129245601916492</v>
      </c>
    </row>
    <row r="363" spans="1:11" x14ac:dyDescent="0.3">
      <c r="A363" s="1" t="str">
        <f>HYPERLINK("[.\tse_pressure_data\2428.xlsx]2428!$A268","﻿興勤            ")</f>
        <v xml:space="preserve">﻿興勤            </v>
      </c>
      <c r="B363">
        <v>1.1295558958652374</v>
      </c>
      <c r="C363">
        <v>1.0089893761917734</v>
      </c>
      <c r="D363">
        <v>0.9419404125286478</v>
      </c>
      <c r="E363">
        <v>0.83686940122583686</v>
      </c>
      <c r="F363">
        <v>0.79940325912324994</v>
      </c>
      <c r="G363">
        <v>0.77024268541619412</v>
      </c>
      <c r="H363">
        <v>0.86823694029850751</v>
      </c>
      <c r="I363">
        <v>0.82186616399623003</v>
      </c>
      <c r="J363">
        <v>0.8468557336621455</v>
      </c>
      <c r="K363">
        <v>0.89774168992641457</v>
      </c>
    </row>
    <row r="364" spans="1:11" x14ac:dyDescent="0.3">
      <c r="A364" s="1" t="str">
        <f>HYPERLINK("[.\tse_pressure_data\2429.xlsx]2429!$A268","﻿銘旺科          ")</f>
        <v xml:space="preserve">﻿銘旺科          </v>
      </c>
      <c r="B364">
        <v>0.88911290322580649</v>
      </c>
      <c r="C364">
        <v>0.87903225806451613</v>
      </c>
      <c r="D364">
        <v>0.89227642276422769</v>
      </c>
      <c r="E364">
        <v>0.88367346938775515</v>
      </c>
      <c r="F364">
        <v>0.86192468619246865</v>
      </c>
      <c r="G364">
        <v>0.85146443514644354</v>
      </c>
      <c r="H364">
        <v>0.87633262260127931</v>
      </c>
      <c r="I364">
        <v>0.85287846481876328</v>
      </c>
      <c r="J364">
        <v>0.84648187633262262</v>
      </c>
      <c r="K364">
        <v>0.82302771855010659</v>
      </c>
    </row>
    <row r="365" spans="1:11" x14ac:dyDescent="0.3">
      <c r="A365" s="1" t="str">
        <f>HYPERLINK("[.\tse_pressure_data\2430.xlsx]2430!$A268","﻿燦坤            ")</f>
        <v xml:space="preserve">﻿燦坤            </v>
      </c>
      <c r="B365">
        <v>1.0012210012210012</v>
      </c>
      <c r="C365">
        <v>1.0190839694656488</v>
      </c>
      <c r="D365">
        <v>0.79484425349087007</v>
      </c>
      <c r="E365">
        <v>0.68121104185218162</v>
      </c>
      <c r="F365">
        <v>0.56206088992974235</v>
      </c>
      <c r="G365">
        <v>0.55868902439024393</v>
      </c>
      <c r="H365">
        <v>0.56058394160583946</v>
      </c>
      <c r="I365">
        <v>0.5669642857142857</v>
      </c>
      <c r="J365">
        <v>0.58678955453149007</v>
      </c>
      <c r="K365">
        <v>0.57659738260200155</v>
      </c>
    </row>
    <row r="366" spans="1:11" x14ac:dyDescent="0.3">
      <c r="A366" s="1" t="str">
        <f>HYPERLINK("[.\tse_pressure_data\2431.xlsx]2431!$A268","﻿聯昌            ")</f>
        <v xml:space="preserve">﻿聯昌            </v>
      </c>
      <c r="B366">
        <v>1.7312874251497006</v>
      </c>
      <c r="C366">
        <v>1.5634393568682279</v>
      </c>
      <c r="D366">
        <v>1.4351506942092787</v>
      </c>
      <c r="E366">
        <v>1.3416417414423396</v>
      </c>
      <c r="F366">
        <v>1.284647841609867</v>
      </c>
      <c r="G366">
        <v>1.2799483371004197</v>
      </c>
      <c r="H366">
        <v>1.2996459607338269</v>
      </c>
      <c r="I366">
        <v>1.2052730696798493</v>
      </c>
      <c r="J366">
        <v>1.2769541778975741</v>
      </c>
      <c r="K366">
        <v>1.1595399587142436</v>
      </c>
    </row>
    <row r="367" spans="1:11" x14ac:dyDescent="0.3">
      <c r="A367" s="1" t="str">
        <f>HYPERLINK("[.\tse_pressure_data\2433.xlsx]2433!$A268","﻿互盛電          ")</f>
        <v xml:space="preserve">﻿互盛電          </v>
      </c>
      <c r="B367">
        <v>0.62361251261352169</v>
      </c>
      <c r="C367">
        <v>0.59745347698334961</v>
      </c>
      <c r="D367">
        <v>0.55278310940499042</v>
      </c>
      <c r="E367">
        <v>0.66185318892900125</v>
      </c>
      <c r="F367">
        <v>0.73605947955390338</v>
      </c>
      <c r="G367">
        <v>0.71144278606965172</v>
      </c>
      <c r="H367">
        <v>0.70817610062893077</v>
      </c>
      <c r="I367">
        <v>0.70379746835443036</v>
      </c>
      <c r="J367">
        <v>0.60479797979797978</v>
      </c>
      <c r="K367">
        <v>0.61178045515394908</v>
      </c>
    </row>
    <row r="368" spans="1:11" x14ac:dyDescent="0.3">
      <c r="A368" s="1" t="str">
        <f>HYPERLINK("[.\tse_pressure_data\2434.xlsx]2434!$A268","﻿統懋            ")</f>
        <v xml:space="preserve">﻿統懋            </v>
      </c>
      <c r="B368">
        <v>0.30663129973474801</v>
      </c>
      <c r="C368">
        <v>0.43707865168539328</v>
      </c>
      <c r="D368">
        <v>1.3741496598639455</v>
      </c>
      <c r="E368">
        <v>1.3501805054151625</v>
      </c>
      <c r="F368">
        <v>1.6328671328671329</v>
      </c>
      <c r="G368">
        <v>1.6330935251798562</v>
      </c>
      <c r="H368">
        <v>2.0119521912350598</v>
      </c>
      <c r="I368">
        <v>1.8136200716845878</v>
      </c>
      <c r="J368">
        <v>1.8689138576779025</v>
      </c>
      <c r="K368">
        <v>2.0492957746478875</v>
      </c>
    </row>
    <row r="369" spans="1:11" x14ac:dyDescent="0.3">
      <c r="A369" s="1" t="str">
        <f>HYPERLINK("[.\tse_pressure_data\2436.xlsx]2436!$A268","﻿偉詮電          ")</f>
        <v xml:space="preserve">﻿偉詮電          </v>
      </c>
      <c r="B369">
        <v>1.2217261904761905</v>
      </c>
      <c r="C369">
        <v>0.98045649761134968</v>
      </c>
      <c r="D369">
        <v>1.0303697431555179</v>
      </c>
      <c r="E369">
        <v>1.0198335102519693</v>
      </c>
      <c r="F369">
        <v>1.087013134057971</v>
      </c>
      <c r="G369">
        <v>0.94298546895640689</v>
      </c>
      <c r="H369">
        <v>0.98150438195601919</v>
      </c>
      <c r="I369">
        <v>0.95484977590881426</v>
      </c>
      <c r="J369">
        <v>0.99762497827724039</v>
      </c>
      <c r="K369">
        <v>1.1320668791880815</v>
      </c>
    </row>
    <row r="370" spans="1:11" x14ac:dyDescent="0.3">
      <c r="A370" s="1" t="str">
        <f>HYPERLINK("[.\tse_pressure_data\2437.xlsx]2437!$A268","﻿旺詮            ")</f>
        <v xml:space="preserve">﻿旺詮            </v>
      </c>
      <c r="B370">
        <v>1.0809859154929577</v>
      </c>
      <c r="C370">
        <v>0.98273851177979943</v>
      </c>
      <c r="D370">
        <v>1.0253283302063789</v>
      </c>
      <c r="E370">
        <v>1.0574737293587819</v>
      </c>
      <c r="F370">
        <v>1.3242539555377528</v>
      </c>
      <c r="G370">
        <v>0.7632423756019262</v>
      </c>
      <c r="H370">
        <v>0.73120599591187829</v>
      </c>
      <c r="I370">
        <v>0.72087082083749865</v>
      </c>
      <c r="J370">
        <v>0.69088787525193596</v>
      </c>
      <c r="K370">
        <v>0.663248043983929</v>
      </c>
    </row>
    <row r="371" spans="1:11" x14ac:dyDescent="0.3">
      <c r="A371" s="1" t="str">
        <f>HYPERLINK("[.\tse_pressure_data\2438.xlsx]2438!$A268","﻿翔耀            ")</f>
        <v xml:space="preserve">﻿翔耀            </v>
      </c>
      <c r="B371">
        <v>0.82655246252676662</v>
      </c>
      <c r="C371">
        <v>0.81020408163265301</v>
      </c>
      <c r="D371">
        <v>0.80037313432835822</v>
      </c>
      <c r="E371">
        <v>0.80594405594405594</v>
      </c>
      <c r="F371">
        <v>0.84129692832764502</v>
      </c>
      <c r="G371">
        <v>0.81818181818181823</v>
      </c>
      <c r="H371">
        <v>0.88468809073724008</v>
      </c>
      <c r="I371">
        <v>0.964509394572025</v>
      </c>
      <c r="J371">
        <v>0.934640522875817</v>
      </c>
      <c r="K371">
        <v>0.91498881431767343</v>
      </c>
    </row>
    <row r="372" spans="1:11" x14ac:dyDescent="0.3">
      <c r="A372" s="1" t="str">
        <f>HYPERLINK("[.\tse_pressure_data\2439.xlsx]2439!$A268","﻿美律            ")</f>
        <v xml:space="preserve">﻿美律            </v>
      </c>
      <c r="B372">
        <v>1.3375657220149662</v>
      </c>
      <c r="C372">
        <v>1.2970311550629596</v>
      </c>
      <c r="D372">
        <v>1.2898649078531588</v>
      </c>
      <c r="E372">
        <v>1.4176112800663534</v>
      </c>
      <c r="F372">
        <v>1.5613732559962377</v>
      </c>
      <c r="G372">
        <v>1.3917096848755681</v>
      </c>
      <c r="H372">
        <v>1.4531347311604734</v>
      </c>
      <c r="I372">
        <v>1.4295470789104481</v>
      </c>
      <c r="J372">
        <v>1.4158163265306123</v>
      </c>
      <c r="K372">
        <v>1.3766292134831462</v>
      </c>
    </row>
    <row r="373" spans="1:11" x14ac:dyDescent="0.3">
      <c r="A373" s="1" t="str">
        <f>HYPERLINK("[.\tse_pressure_data\2440.xlsx]2440!$A268","﻿太空梭          ")</f>
        <v xml:space="preserve">﻿太空梭          </v>
      </c>
      <c r="B373">
        <v>1.1204819277108433</v>
      </c>
      <c r="C373">
        <v>1.0833333333333333</v>
      </c>
      <c r="D373">
        <v>1.0770416024653313</v>
      </c>
      <c r="E373">
        <v>1.08675799086758</v>
      </c>
      <c r="F373">
        <v>1.0608308605341246</v>
      </c>
      <c r="G373">
        <v>1.013869625520111</v>
      </c>
      <c r="H373">
        <v>0.98611111111111116</v>
      </c>
      <c r="I373">
        <v>0.97799174690508939</v>
      </c>
      <c r="J373">
        <v>1.0129496402877698</v>
      </c>
      <c r="K373">
        <v>0.89180834621329208</v>
      </c>
    </row>
    <row r="374" spans="1:11" x14ac:dyDescent="0.3">
      <c r="A374" s="1" t="str">
        <f>HYPERLINK("[.\tse_pressure_data\2441.xlsx]2441!$A268","﻿超豐            ")</f>
        <v xml:space="preserve">﻿超豐            </v>
      </c>
      <c r="B374">
        <v>0.78813923506660932</v>
      </c>
      <c r="C374">
        <v>0.91631467793030619</v>
      </c>
      <c r="D374">
        <v>0.89741790625877071</v>
      </c>
      <c r="E374">
        <v>0.92423802612481853</v>
      </c>
      <c r="F374">
        <v>0.91218377435300957</v>
      </c>
      <c r="G374">
        <v>0.89524790348683247</v>
      </c>
      <c r="H374">
        <v>0.94071622028287694</v>
      </c>
      <c r="I374">
        <v>0.8788018433179724</v>
      </c>
      <c r="J374">
        <v>0.90930902111324374</v>
      </c>
      <c r="K374">
        <v>0.90833065294306847</v>
      </c>
    </row>
    <row r="375" spans="1:11" x14ac:dyDescent="0.3">
      <c r="A375" s="1" t="str">
        <f>HYPERLINK("[.\tse_pressure_data\2442.xlsx]2442!$A268","﻿新美齊          ")</f>
        <v xml:space="preserve">﻿新美齊          </v>
      </c>
      <c r="B375">
        <v>0.82579066922942512</v>
      </c>
      <c r="C375">
        <v>0.96306971716807788</v>
      </c>
      <c r="D375">
        <v>0.93187390542907178</v>
      </c>
      <c r="E375">
        <v>0.91207462428744168</v>
      </c>
      <c r="F375">
        <v>0.91054694155733518</v>
      </c>
      <c r="G375">
        <v>0.91506247889226611</v>
      </c>
      <c r="H375">
        <v>0.97488388095647682</v>
      </c>
      <c r="I375">
        <v>1.1462369278244471</v>
      </c>
      <c r="J375">
        <v>1.0674285714285714</v>
      </c>
      <c r="K375">
        <v>1.1276665572694453</v>
      </c>
    </row>
    <row r="376" spans="1:11" x14ac:dyDescent="0.3">
      <c r="A376" s="1" t="str">
        <f>HYPERLINK("[.\tse_pressure_data\2443.xlsx]2443!$A268","﻿新利虹          ")</f>
        <v xml:space="preserve">﻿新利虹          </v>
      </c>
      <c r="B376">
        <v>1.2310160427807486</v>
      </c>
      <c r="C376">
        <v>1.254566210045662</v>
      </c>
      <c r="D376">
        <v>1.2380952380952381</v>
      </c>
      <c r="E376">
        <v>1.0683491062039958</v>
      </c>
      <c r="F376">
        <v>1.0195071868583163</v>
      </c>
      <c r="G376">
        <v>0.91379310344827591</v>
      </c>
      <c r="H376">
        <v>1.0683544303797468</v>
      </c>
      <c r="I376">
        <v>1.0395256916996047</v>
      </c>
      <c r="J376">
        <v>0.89608636977058032</v>
      </c>
      <c r="K376">
        <v>0.93848580441640383</v>
      </c>
    </row>
    <row r="377" spans="1:11" x14ac:dyDescent="0.3">
      <c r="A377" s="1" t="str">
        <f>HYPERLINK("[.\tse_pressure_data\2444.xlsx]2444!$A268","﻿友旺            ")</f>
        <v xml:space="preserve">﻿友旺            </v>
      </c>
      <c r="B377">
        <v>1.2371505588030409</v>
      </c>
      <c r="C377">
        <v>1.1293803600840575</v>
      </c>
      <c r="D377">
        <v>1.4789892970080272</v>
      </c>
      <c r="E377">
        <v>1.3666818466442763</v>
      </c>
      <c r="F377">
        <v>1.3521661394581213</v>
      </c>
      <c r="G377">
        <v>1.212741460918511</v>
      </c>
      <c r="H377">
        <v>1.2093142010927846</v>
      </c>
      <c r="I377">
        <v>1.1974492813247282</v>
      </c>
      <c r="J377">
        <v>1.2062655730897009</v>
      </c>
      <c r="K377">
        <v>1.2525146857648668</v>
      </c>
    </row>
    <row r="378" spans="1:11" x14ac:dyDescent="0.3">
      <c r="A378" s="1" t="str">
        <f>HYPERLINK("[.\tse_pressure_data\2448.xlsx]2448!$A268","﻿晶電            ")</f>
        <v xml:space="preserve">﻿晶電            </v>
      </c>
      <c r="B378">
        <v>0.7464812290208388</v>
      </c>
      <c r="C378">
        <v>0.7772634783193777</v>
      </c>
      <c r="D378">
        <v>0.76224307187679596</v>
      </c>
      <c r="E378">
        <v>0.7367539658818939</v>
      </c>
      <c r="F378">
        <v>0.69675485826270278</v>
      </c>
      <c r="G378">
        <v>0.65795288907680838</v>
      </c>
      <c r="H378">
        <v>0.68905606304854017</v>
      </c>
      <c r="I378">
        <v>0.65477458288959889</v>
      </c>
      <c r="J378">
        <v>0.63642783098270073</v>
      </c>
      <c r="K378">
        <v>0.76091694869741711</v>
      </c>
    </row>
    <row r="379" spans="1:11" x14ac:dyDescent="0.3">
      <c r="A379" s="1" t="str">
        <f>HYPERLINK("[.\tse_pressure_data\2449.xlsx]2449!$A268","﻿京元電          ")</f>
        <v xml:space="preserve">﻿京元電          </v>
      </c>
      <c r="B379">
        <v>0.98779008438818561</v>
      </c>
      <c r="C379">
        <v>1.0751429711397793</v>
      </c>
      <c r="D379">
        <v>1.0000241440919406</v>
      </c>
      <c r="E379">
        <v>0.92107404393816106</v>
      </c>
      <c r="F379">
        <v>0.87704141738467578</v>
      </c>
      <c r="G379">
        <v>0.79681444370923526</v>
      </c>
      <c r="H379">
        <v>0.73412965995568824</v>
      </c>
      <c r="I379">
        <v>0.70853850699231835</v>
      </c>
      <c r="J379">
        <v>0.75516439541423319</v>
      </c>
      <c r="K379">
        <v>0.6901820892343733</v>
      </c>
    </row>
    <row r="380" spans="1:11" x14ac:dyDescent="0.3">
      <c r="A380" s="1" t="str">
        <f>HYPERLINK("[.\tse_pressure_data\2450.xlsx]2450!$A268","﻿神腦            ")</f>
        <v xml:space="preserve">﻿神腦            </v>
      </c>
      <c r="B380">
        <v>1.147887323943662</v>
      </c>
      <c r="C380">
        <v>1.0554123711340206</v>
      </c>
      <c r="D380">
        <v>0.93957345971563977</v>
      </c>
      <c r="E380">
        <v>0.91843575418994416</v>
      </c>
      <c r="F380">
        <v>0.96571428571428575</v>
      </c>
      <c r="G380">
        <v>1</v>
      </c>
      <c r="H380">
        <v>0.94837261503928172</v>
      </c>
      <c r="I380">
        <v>0.95749440715883671</v>
      </c>
      <c r="J380">
        <v>0.96501128668171554</v>
      </c>
      <c r="K380">
        <v>0.95340909090909087</v>
      </c>
    </row>
    <row r="381" spans="1:11" x14ac:dyDescent="0.3">
      <c r="A381" s="1" t="str">
        <f>HYPERLINK("[.\tse_pressure_data\2451.xlsx]2451!$A268","﻿創見            ")</f>
        <v xml:space="preserve">﻿創見            </v>
      </c>
      <c r="B381">
        <v>0.81704994873297199</v>
      </c>
      <c r="C381">
        <v>0.81702066590126288</v>
      </c>
      <c r="D381">
        <v>0.79416689924644157</v>
      </c>
      <c r="E381">
        <v>0.73915961874077052</v>
      </c>
      <c r="F381">
        <v>0.71457435344827591</v>
      </c>
      <c r="G381">
        <v>0.73312754314578366</v>
      </c>
      <c r="H381">
        <v>0.81550138665888194</v>
      </c>
      <c r="I381">
        <v>0.76528738878689451</v>
      </c>
      <c r="J381">
        <v>0.83831038217546028</v>
      </c>
      <c r="K381">
        <v>0.90668590668590665</v>
      </c>
    </row>
    <row r="382" spans="1:11" x14ac:dyDescent="0.3">
      <c r="A382" s="1" t="str">
        <f>HYPERLINK("[.\tse_pressure_data\2453.xlsx]2453!$A268","﻿凌群            ")</f>
        <v xml:space="preserve">﻿凌群            </v>
      </c>
      <c r="B382">
        <v>1.2115384615384615</v>
      </c>
      <c r="C382">
        <v>1.2203065134099618</v>
      </c>
      <c r="D382">
        <v>1.2287369868395208</v>
      </c>
      <c r="E382">
        <v>1.1458706022659511</v>
      </c>
      <c r="F382">
        <v>0.78095821215368133</v>
      </c>
      <c r="G382">
        <v>0.76192407116427596</v>
      </c>
      <c r="H382">
        <v>0.76948018528049411</v>
      </c>
      <c r="I382">
        <v>0.77947541325546232</v>
      </c>
      <c r="J382">
        <v>0.76393856511676839</v>
      </c>
      <c r="K382">
        <v>0.7470190138575572</v>
      </c>
    </row>
    <row r="383" spans="1:11" x14ac:dyDescent="0.3">
      <c r="A383" s="1" t="str">
        <f>HYPERLINK("[.\tse_pressure_data\2454.xlsx]2454!$A268","﻿聯發科          ")</f>
        <v xml:space="preserve">﻿聯發科          </v>
      </c>
      <c r="B383">
        <v>1.0814661292165086</v>
      </c>
      <c r="C383">
        <v>0.98940187409675062</v>
      </c>
      <c r="D383">
        <v>0.9040787709755459</v>
      </c>
      <c r="E383">
        <v>0.80089842051876536</v>
      </c>
      <c r="F383">
        <v>0.84203126417319263</v>
      </c>
      <c r="G383">
        <v>0.80093810073048832</v>
      </c>
      <c r="H383">
        <v>0.75251120735506416</v>
      </c>
      <c r="I383">
        <v>0.73472521727765794</v>
      </c>
      <c r="J383">
        <v>0.72592891218168376</v>
      </c>
      <c r="K383">
        <v>0.69983505512631305</v>
      </c>
    </row>
    <row r="384" spans="1:11" x14ac:dyDescent="0.3">
      <c r="A384" s="1" t="str">
        <f>HYPERLINK("[.\tse_pressure_data\2455.xlsx]2455!$A268","﻿全新            ")</f>
        <v xml:space="preserve">﻿全新            </v>
      </c>
      <c r="B384">
        <v>0.78847819593787338</v>
      </c>
      <c r="C384">
        <v>0.77451818023726171</v>
      </c>
      <c r="D384">
        <v>0.88532151253566882</v>
      </c>
      <c r="E384">
        <v>0.91023726267025584</v>
      </c>
      <c r="F384">
        <v>0.91542249463041547</v>
      </c>
      <c r="G384">
        <v>0.87986891953983126</v>
      </c>
      <c r="H384">
        <v>1.0181921901043756</v>
      </c>
      <c r="I384">
        <v>0.96981755581892259</v>
      </c>
      <c r="J384">
        <v>1.0316312348792918</v>
      </c>
      <c r="K384">
        <v>1.1169132731002576</v>
      </c>
    </row>
    <row r="385" spans="1:11" x14ac:dyDescent="0.3">
      <c r="A385" s="1" t="str">
        <f>HYPERLINK("[.\tse_pressure_data\2456.xlsx]2456!$A268","﻿奇力新          ")</f>
        <v xml:space="preserve">﻿奇力新          </v>
      </c>
      <c r="B385">
        <v>1.4965575780439497</v>
      </c>
      <c r="C385">
        <v>1.3665299471850769</v>
      </c>
      <c r="D385">
        <v>1.2749883050054576</v>
      </c>
      <c r="E385">
        <v>1.3962657202376361</v>
      </c>
      <c r="F385">
        <v>1.1689178664411759</v>
      </c>
      <c r="G385">
        <v>1.1923051202603598</v>
      </c>
      <c r="H385">
        <v>1.1644030980538429</v>
      </c>
      <c r="I385">
        <v>1.1033642337990164</v>
      </c>
      <c r="J385">
        <v>1.2082586993384443</v>
      </c>
      <c r="K385">
        <v>1.1707328429090231</v>
      </c>
    </row>
    <row r="386" spans="1:11" x14ac:dyDescent="0.3">
      <c r="A386" s="1" t="str">
        <f>HYPERLINK("[.\tse_pressure_data\2457.xlsx]2457!$A268","﻿飛宏            ")</f>
        <v xml:space="preserve">﻿飛宏            </v>
      </c>
      <c r="B386">
        <v>1.4206498123642108</v>
      </c>
      <c r="C386">
        <v>1.4816781731279873</v>
      </c>
      <c r="D386">
        <v>1.4435784954265447</v>
      </c>
      <c r="E386">
        <v>1.2671736375158429</v>
      </c>
      <c r="F386">
        <v>1.2288317682635683</v>
      </c>
      <c r="G386">
        <v>1.1955416955416955</v>
      </c>
      <c r="H386">
        <v>1.3824362606232294</v>
      </c>
      <c r="I386">
        <v>1.2827835453353649</v>
      </c>
      <c r="J386">
        <v>1.2128309572301426</v>
      </c>
      <c r="K386">
        <v>1.1438220008143127</v>
      </c>
    </row>
    <row r="387" spans="1:11" x14ac:dyDescent="0.3">
      <c r="A387" s="1" t="str">
        <f>HYPERLINK("[.\tse_pressure_data\2458.xlsx]2458!$A268","﻿義隆            ")</f>
        <v xml:space="preserve">﻿義隆            </v>
      </c>
      <c r="B387">
        <v>1.2013995669501365</v>
      </c>
      <c r="C387">
        <v>1.1352636520580308</v>
      </c>
      <c r="D387">
        <v>1.2137113176257079</v>
      </c>
      <c r="E387">
        <v>1.2755138720956831</v>
      </c>
      <c r="F387">
        <v>1.2766454281615907</v>
      </c>
      <c r="G387">
        <v>1.2682077799182128</v>
      </c>
      <c r="H387">
        <v>1.3149653921107451</v>
      </c>
      <c r="I387">
        <v>1.2847648435115797</v>
      </c>
      <c r="J387">
        <v>1.5665149838068297</v>
      </c>
      <c r="K387">
        <v>1.5518225826471927</v>
      </c>
    </row>
    <row r="388" spans="1:11" x14ac:dyDescent="0.3">
      <c r="A388" s="1" t="str">
        <f>HYPERLINK("[.\tse_pressure_data\2459.xlsx]2459!$A268","﻿敦吉            ")</f>
        <v xml:space="preserve">﻿敦吉            </v>
      </c>
      <c r="B388">
        <v>1.1693448702101359</v>
      </c>
      <c r="C388">
        <v>1.1376262626262625</v>
      </c>
      <c r="D388">
        <v>1.083941605839416</v>
      </c>
      <c r="E388">
        <v>1.0755441741357235</v>
      </c>
      <c r="F388">
        <v>1.0184696569920844</v>
      </c>
      <c r="G388">
        <v>0.990450204638472</v>
      </c>
      <c r="H388">
        <v>1.0596393897364771</v>
      </c>
      <c r="I388">
        <v>1.0405027932960893</v>
      </c>
      <c r="J388">
        <v>1.2644628099173554</v>
      </c>
      <c r="K388">
        <v>1.1195476575121164</v>
      </c>
    </row>
    <row r="389" spans="1:11" x14ac:dyDescent="0.3">
      <c r="A389" s="1" t="str">
        <f>HYPERLINK("[.\tse_pressure_data\2460.xlsx]2460!$A268","﻿建通            ")</f>
        <v xml:space="preserve">﻿建通            </v>
      </c>
      <c r="B389">
        <v>0.87879654269942153</v>
      </c>
      <c r="C389">
        <v>0.77172034004027734</v>
      </c>
      <c r="D389">
        <v>0.71331832179873511</v>
      </c>
      <c r="E389">
        <v>0.64895039651687136</v>
      </c>
      <c r="F389">
        <v>0.63510777473212066</v>
      </c>
      <c r="G389">
        <v>0.63080464844920292</v>
      </c>
      <c r="H389">
        <v>0.63698412698412699</v>
      </c>
      <c r="I389">
        <v>0.60811990917895875</v>
      </c>
      <c r="J389">
        <v>0.57786617869361123</v>
      </c>
      <c r="K389">
        <v>0.56432651905009201</v>
      </c>
    </row>
    <row r="390" spans="1:11" x14ac:dyDescent="0.3">
      <c r="A390" s="1" t="str">
        <f>HYPERLINK("[.\tse_pressure_data\2461.xlsx]2461!$A268","﻿光群雷          ")</f>
        <v xml:space="preserve">﻿光群雷          </v>
      </c>
      <c r="B390">
        <v>1.0086024828723021</v>
      </c>
      <c r="C390">
        <v>1.0444201426860387</v>
      </c>
      <c r="D390">
        <v>0.93823146944083224</v>
      </c>
      <c r="E390">
        <v>0.87209196241218867</v>
      </c>
      <c r="F390">
        <v>0.87011056396915354</v>
      </c>
      <c r="G390">
        <v>0.7944813584348468</v>
      </c>
      <c r="H390">
        <v>0.87410071942446044</v>
      </c>
      <c r="I390">
        <v>0.96589702018225532</v>
      </c>
      <c r="J390">
        <v>0.97182786157941436</v>
      </c>
      <c r="K390">
        <v>0.98589280755345732</v>
      </c>
    </row>
    <row r="391" spans="1:11" x14ac:dyDescent="0.3">
      <c r="A391" s="1" t="str">
        <f>HYPERLINK("[.\tse_pressure_data\2462.xlsx]2462!$A268","﻿良得電          ")</f>
        <v xml:space="preserve">﻿良得電          </v>
      </c>
      <c r="B391">
        <v>1.0290441176470588</v>
      </c>
      <c r="C391">
        <v>1.0191657271702368</v>
      </c>
      <c r="D391">
        <v>0.97930775018811134</v>
      </c>
      <c r="E391">
        <v>0.97960725075528698</v>
      </c>
      <c r="F391">
        <v>0.96081386586284856</v>
      </c>
      <c r="G391">
        <v>0.83860531991373111</v>
      </c>
      <c r="H391">
        <v>0.89858012170385393</v>
      </c>
      <c r="I391">
        <v>0.8543922984356197</v>
      </c>
      <c r="J391">
        <v>0.79531442663378549</v>
      </c>
      <c r="K391">
        <v>0.78640350877192977</v>
      </c>
    </row>
    <row r="392" spans="1:11" x14ac:dyDescent="0.3">
      <c r="A392" s="1" t="str">
        <f>HYPERLINK("[.\tse_pressure_data\2464.xlsx]2464!$A268","﻿盟立            ")</f>
        <v xml:space="preserve">﻿盟立            </v>
      </c>
      <c r="B392">
        <v>0.91727110753491581</v>
      </c>
      <c r="C392">
        <v>0.94253768959354811</v>
      </c>
      <c r="D392">
        <v>0.91269493123944467</v>
      </c>
      <c r="E392">
        <v>0.86282953700870024</v>
      </c>
      <c r="F392">
        <v>0.90342470270151454</v>
      </c>
      <c r="G392">
        <v>0.90700537392682035</v>
      </c>
      <c r="H392">
        <v>0.84400026919711957</v>
      </c>
      <c r="I392">
        <v>0.80656033162115892</v>
      </c>
      <c r="J392">
        <v>0.76274175683735201</v>
      </c>
      <c r="K392">
        <v>0.71888896208702524</v>
      </c>
    </row>
    <row r="393" spans="1:11" x14ac:dyDescent="0.3">
      <c r="A393" s="1" t="str">
        <f>HYPERLINK("[.\tse_pressure_data\2465.xlsx]2465!$A268","﻿麗臺            ")</f>
        <v xml:space="preserve">﻿麗臺            </v>
      </c>
      <c r="B393">
        <v>0.91244733818460355</v>
      </c>
      <c r="C393">
        <v>0.93667508683296496</v>
      </c>
      <c r="D393">
        <v>0.88497828855006688</v>
      </c>
      <c r="E393">
        <v>0.85632348241468048</v>
      </c>
      <c r="F393">
        <v>0.85029940119760483</v>
      </c>
      <c r="G393">
        <v>0.6986636633384592</v>
      </c>
      <c r="H393">
        <v>0.77498428661219354</v>
      </c>
      <c r="I393">
        <v>0.49836274595033181</v>
      </c>
      <c r="J393">
        <v>0.57979992049821116</v>
      </c>
      <c r="K393">
        <v>0.57202747930244846</v>
      </c>
    </row>
    <row r="394" spans="1:11" x14ac:dyDescent="0.3">
      <c r="A394" s="1" t="str">
        <f>HYPERLINK("[.\tse_pressure_data\2466.xlsx]2466!$A268","﻿冠西電          ")</f>
        <v xml:space="preserve">﻿冠西電          </v>
      </c>
      <c r="B394">
        <v>0.7458128078817734</v>
      </c>
      <c r="C394">
        <v>0.80635245901639341</v>
      </c>
      <c r="D394">
        <v>0.80575539568345322</v>
      </c>
      <c r="E394">
        <v>0.88984881209503242</v>
      </c>
      <c r="F394">
        <v>0.90740740740740744</v>
      </c>
      <c r="G394">
        <v>0.97511312217194568</v>
      </c>
      <c r="H394">
        <v>0.91969196919691965</v>
      </c>
      <c r="I394">
        <v>0.88876889848812091</v>
      </c>
      <c r="J394">
        <v>0.81159420289855078</v>
      </c>
      <c r="K394">
        <v>0.76008064516129037</v>
      </c>
    </row>
    <row r="395" spans="1:11" x14ac:dyDescent="0.3">
      <c r="A395" s="1" t="str">
        <f>HYPERLINK("[.\tse_pressure_data\2467.xlsx]2467!$A268","﻿志聖            ")</f>
        <v xml:space="preserve">﻿志聖            </v>
      </c>
      <c r="B395">
        <v>1.4158883248730965</v>
      </c>
      <c r="C395">
        <v>1.3688081437825728</v>
      </c>
      <c r="D395">
        <v>1.3334925259085917</v>
      </c>
      <c r="E395">
        <v>1.3625770416024654</v>
      </c>
      <c r="F395">
        <v>1.3366852714608608</v>
      </c>
      <c r="G395">
        <v>1.3032768563637176</v>
      </c>
      <c r="H395">
        <v>1.3272833198888589</v>
      </c>
      <c r="I395">
        <v>1.2632703799014262</v>
      </c>
      <c r="J395">
        <v>1.2738367658276124</v>
      </c>
      <c r="K395">
        <v>1.1958543715120915</v>
      </c>
    </row>
    <row r="396" spans="1:11" x14ac:dyDescent="0.3">
      <c r="A396" s="1" t="str">
        <f>HYPERLINK("[.\tse_pressure_data\2468.xlsx]2468!$A268","﻿華經            ")</f>
        <v xml:space="preserve">﻿華經            </v>
      </c>
      <c r="B396">
        <v>0.70903198534592082</v>
      </c>
      <c r="C396">
        <v>0.69056389912156413</v>
      </c>
      <c r="D396">
        <v>0.6581668791613543</v>
      </c>
      <c r="E396">
        <v>0.65058164584230938</v>
      </c>
      <c r="F396">
        <v>0.62263058891622047</v>
      </c>
      <c r="G396">
        <v>0.51590209585226443</v>
      </c>
      <c r="H396">
        <v>0.48372666975165818</v>
      </c>
      <c r="I396">
        <v>0.43436754176610981</v>
      </c>
      <c r="J396">
        <v>0.77490347490347489</v>
      </c>
      <c r="K396">
        <v>0.63996919522525997</v>
      </c>
    </row>
    <row r="397" spans="1:11" x14ac:dyDescent="0.3">
      <c r="A397" s="1" t="str">
        <f>HYPERLINK("[.\tse_pressure_data\2471.xlsx]2471!$A268","﻿資通            ")</f>
        <v xml:space="preserve">﻿資通            </v>
      </c>
      <c r="B397">
        <v>1.4464023494860498</v>
      </c>
      <c r="C397">
        <v>1.3616473616473617</v>
      </c>
      <c r="D397">
        <v>1.2862407862407863</v>
      </c>
      <c r="E397">
        <v>1.2945544554455446</v>
      </c>
      <c r="F397">
        <v>1.1697247706422018</v>
      </c>
      <c r="G397">
        <v>1.1950354609929077</v>
      </c>
      <c r="H397">
        <v>1.2360939431396787</v>
      </c>
      <c r="I397">
        <v>1.169431279620853</v>
      </c>
      <c r="J397">
        <v>1.0955882352941178</v>
      </c>
      <c r="K397">
        <v>1.0874524714828897</v>
      </c>
    </row>
    <row r="398" spans="1:11" x14ac:dyDescent="0.3">
      <c r="A398" s="1" t="str">
        <f>HYPERLINK("[.\tse_pressure_data\2472.xlsx]2472!$A268","﻿立隆電          ")</f>
        <v xml:space="preserve">﻿立隆電          </v>
      </c>
      <c r="B398">
        <v>1.2931398194245212</v>
      </c>
      <c r="C398">
        <v>1.1227403720199109</v>
      </c>
      <c r="D398">
        <v>1.1162564135870625</v>
      </c>
      <c r="E398">
        <v>1.1336084601496002</v>
      </c>
      <c r="F398">
        <v>1.1530216942148761</v>
      </c>
      <c r="G398">
        <v>1.08294237940575</v>
      </c>
      <c r="H398">
        <v>1.1459229998231237</v>
      </c>
      <c r="I398">
        <v>1.0642166156239365</v>
      </c>
      <c r="J398">
        <v>1.1713842574641333</v>
      </c>
      <c r="K398">
        <v>1.1018034887158765</v>
      </c>
    </row>
    <row r="399" spans="1:11" x14ac:dyDescent="0.3">
      <c r="A399" s="1" t="str">
        <f>HYPERLINK("[.\tse_pressure_data\2474.xlsx]2474!$A268","﻿可成            ")</f>
        <v xml:space="preserve">﻿可成            </v>
      </c>
      <c r="B399">
        <v>0.96581824594403953</v>
      </c>
      <c r="C399">
        <v>1.057312565163818</v>
      </c>
      <c r="D399">
        <v>0.92372311827956988</v>
      </c>
      <c r="E399">
        <v>0.9804591159172833</v>
      </c>
      <c r="F399">
        <v>0.950376647834275</v>
      </c>
      <c r="G399">
        <v>0.84287779733467438</v>
      </c>
      <c r="H399">
        <v>0.92470022463378365</v>
      </c>
      <c r="I399">
        <v>0.91599871753767237</v>
      </c>
      <c r="J399">
        <v>0.92501377231925852</v>
      </c>
      <c r="K399">
        <v>0.91985043082425622</v>
      </c>
    </row>
    <row r="400" spans="1:11" x14ac:dyDescent="0.3">
      <c r="A400" s="1" t="str">
        <f>HYPERLINK("[.\tse_pressure_data\2475.xlsx]2475!$A268","﻿華映            ")</f>
        <v xml:space="preserve">﻿華映            </v>
      </c>
      <c r="B400">
        <v>1.0401406807945595</v>
      </c>
      <c r="C400">
        <v>1.1104493971501643</v>
      </c>
      <c r="D400">
        <v>1.0465658158875824</v>
      </c>
      <c r="E400">
        <v>0.98959131871688732</v>
      </c>
      <c r="F400">
        <v>1.0168979371349471</v>
      </c>
      <c r="G400">
        <v>1.010830147191546</v>
      </c>
      <c r="H400">
        <v>1.0675437875174738</v>
      </c>
      <c r="I400">
        <v>1.1027804123196725</v>
      </c>
      <c r="J400">
        <v>1.1648720558561454</v>
      </c>
      <c r="K400">
        <v>1.1646279120718614</v>
      </c>
    </row>
    <row r="401" spans="1:11" x14ac:dyDescent="0.3">
      <c r="A401" s="1" t="str">
        <f>HYPERLINK("[.\tse_pressure_data\2476.xlsx]2476!$A268","﻿鉅祥            ")</f>
        <v xml:space="preserve">﻿鉅祥            </v>
      </c>
      <c r="B401">
        <v>1.8491965389369591</v>
      </c>
      <c r="C401">
        <v>1.6672259507829978</v>
      </c>
      <c r="D401">
        <v>1.4739504299443602</v>
      </c>
      <c r="E401">
        <v>1.4336553126588714</v>
      </c>
      <c r="F401">
        <v>1.5032745591939547</v>
      </c>
      <c r="G401">
        <v>1.3005342831700801</v>
      </c>
      <c r="H401">
        <v>1.5051931865392605</v>
      </c>
      <c r="I401">
        <v>1.7411106671993608</v>
      </c>
      <c r="J401">
        <v>0.96140130060834905</v>
      </c>
      <c r="K401">
        <v>0.87861271676300579</v>
      </c>
    </row>
    <row r="402" spans="1:11" x14ac:dyDescent="0.3">
      <c r="A402" s="1" t="str">
        <f>HYPERLINK("[.\tse_pressure_data\2477.xlsx]2477!$A268","﻿美隆電          ")</f>
        <v xml:space="preserve">﻿美隆電          </v>
      </c>
      <c r="B402">
        <v>0.65873134328358207</v>
      </c>
      <c r="C402">
        <v>0.77771873893021604</v>
      </c>
      <c r="D402">
        <v>0.62422066880785942</v>
      </c>
      <c r="E402">
        <v>0.87992910943730618</v>
      </c>
      <c r="F402">
        <v>0.91249207355738748</v>
      </c>
      <c r="G402">
        <v>0.93228329583199399</v>
      </c>
      <c r="H402">
        <v>0.93865890470030189</v>
      </c>
      <c r="I402">
        <v>0.95529157667386611</v>
      </c>
      <c r="J402">
        <v>0.92174386920980922</v>
      </c>
      <c r="K402">
        <v>0.90228013029315957</v>
      </c>
    </row>
    <row r="403" spans="1:11" x14ac:dyDescent="0.3">
      <c r="A403" s="1" t="str">
        <f>HYPERLINK("[.\tse_pressure_data\2478.xlsx]2478!$A268","﻿大毅            ")</f>
        <v xml:space="preserve">﻿大毅            </v>
      </c>
      <c r="B403">
        <v>1.3406273478587529</v>
      </c>
      <c r="C403">
        <v>1.1383486625008776</v>
      </c>
      <c r="D403">
        <v>1.2025453827940016</v>
      </c>
      <c r="E403">
        <v>1.0186498036212732</v>
      </c>
      <c r="F403">
        <v>0.93966521420251092</v>
      </c>
      <c r="G403">
        <v>0.85677992357740373</v>
      </c>
      <c r="H403">
        <v>0.90047806182392742</v>
      </c>
      <c r="I403">
        <v>0.70643145062584656</v>
      </c>
      <c r="J403">
        <v>0.64152331892190229</v>
      </c>
      <c r="K403">
        <v>0.64405812303325727</v>
      </c>
    </row>
    <row r="404" spans="1:11" x14ac:dyDescent="0.3">
      <c r="A404" s="1" t="str">
        <f>HYPERLINK("[.\tse_pressure_data\2480.xlsx]2480!$A268","﻿敦陽科          ")</f>
        <v xml:space="preserve">﻿敦陽科          </v>
      </c>
      <c r="B404">
        <v>1.0221582733812951</v>
      </c>
      <c r="C404">
        <v>1.0115492957746479</v>
      </c>
      <c r="D404">
        <v>0.89229926007125238</v>
      </c>
      <c r="E404">
        <v>0.77967457988797018</v>
      </c>
      <c r="F404">
        <v>0.85201793721973096</v>
      </c>
      <c r="G404">
        <v>0.86636539703034221</v>
      </c>
      <c r="H404">
        <v>0.91345525800130634</v>
      </c>
      <c r="I404">
        <v>0.9042622950819672</v>
      </c>
      <c r="J404">
        <v>0.89154228855721396</v>
      </c>
      <c r="K404">
        <v>0.93666092943201373</v>
      </c>
    </row>
    <row r="405" spans="1:11" x14ac:dyDescent="0.3">
      <c r="A405" s="1" t="str">
        <f>HYPERLINK("[.\tse_pressure_data\2481.xlsx]2481!$A268","﻿強茂            ")</f>
        <v xml:space="preserve">﻿強茂            </v>
      </c>
      <c r="B405">
        <v>0.76294355663118052</v>
      </c>
      <c r="C405">
        <v>0.72621333568219859</v>
      </c>
      <c r="D405">
        <v>0.63818280151433204</v>
      </c>
      <c r="E405">
        <v>0.62652133665169363</v>
      </c>
      <c r="F405">
        <v>0.6458563801644942</v>
      </c>
      <c r="G405">
        <v>0.58429299191668693</v>
      </c>
      <c r="H405">
        <v>0.58810422428686893</v>
      </c>
      <c r="I405">
        <v>0.55163365655859864</v>
      </c>
      <c r="J405">
        <v>0.54093403772207072</v>
      </c>
      <c r="K405">
        <v>0.54124051534144768</v>
      </c>
    </row>
    <row r="406" spans="1:11" x14ac:dyDescent="0.3">
      <c r="A406" s="1" t="str">
        <f>HYPERLINK("[.\tse_pressure_data\2482.xlsx]2482!$A268","﻿連宇            ")</f>
        <v xml:space="preserve">﻿連宇            </v>
      </c>
      <c r="B406">
        <v>1.1995565410199556</v>
      </c>
      <c r="C406">
        <v>1.3183962264150944</v>
      </c>
      <c r="D406">
        <v>1.344578313253012</v>
      </c>
      <c r="E406">
        <v>1.2393364928909953</v>
      </c>
      <c r="F406">
        <v>1.2331002331002332</v>
      </c>
      <c r="G406">
        <v>1.3317535545023698</v>
      </c>
      <c r="H406">
        <v>1.3278301886792452</v>
      </c>
      <c r="I406">
        <v>1.3419811320754718</v>
      </c>
      <c r="J406">
        <v>1.3276283618581908</v>
      </c>
      <c r="K406">
        <v>1.2963855421686747</v>
      </c>
    </row>
    <row r="407" spans="1:11" x14ac:dyDescent="0.3">
      <c r="A407" s="1" t="str">
        <f>HYPERLINK("[.\tse_pressure_data\2483.xlsx]2483!$A268","﻿百容            ")</f>
        <v xml:space="preserve">﻿百容            </v>
      </c>
      <c r="B407">
        <v>2.2970502700457001</v>
      </c>
      <c r="C407">
        <v>1.7129120879120878</v>
      </c>
      <c r="D407">
        <v>1.5</v>
      </c>
      <c r="E407">
        <v>1.4436720997123682</v>
      </c>
      <c r="F407">
        <v>1.2638511394522267</v>
      </c>
      <c r="G407">
        <v>1.1563416064100058</v>
      </c>
      <c r="H407">
        <v>1.1922621397552309</v>
      </c>
      <c r="I407">
        <v>1.2641209228321399</v>
      </c>
      <c r="J407">
        <v>1.2833733013589128</v>
      </c>
      <c r="K407">
        <v>1.2239215686274509</v>
      </c>
    </row>
    <row r="408" spans="1:11" x14ac:dyDescent="0.3">
      <c r="A408" s="1" t="str">
        <f>HYPERLINK("[.\tse_pressure_data\2484.xlsx]2484!$A268","﻿希華            ")</f>
        <v xml:space="preserve">﻿希華            </v>
      </c>
      <c r="B408">
        <v>1.1401083131597993</v>
      </c>
      <c r="C408">
        <v>1.0805161759360233</v>
      </c>
      <c r="D408">
        <v>1.0414829885837007</v>
      </c>
      <c r="E408">
        <v>0.91801776399266888</v>
      </c>
      <c r="F408">
        <v>0.95566701111475161</v>
      </c>
      <c r="G408">
        <v>0.84208483217308039</v>
      </c>
      <c r="H408">
        <v>0.97603661820140009</v>
      </c>
      <c r="I408">
        <v>0.95047269223821285</v>
      </c>
      <c r="J408">
        <v>1.0048137826197112</v>
      </c>
      <c r="K408">
        <v>1.0119341029964977</v>
      </c>
    </row>
    <row r="409" spans="1:11" x14ac:dyDescent="0.3">
      <c r="A409" s="1" t="str">
        <f>HYPERLINK("[.\tse_pressure_data\2485.xlsx]2485!$A268","﻿兆赫            ")</f>
        <v xml:space="preserve">﻿兆赫            </v>
      </c>
      <c r="B409">
        <v>1.6745733788395905</v>
      </c>
      <c r="C409">
        <v>1.8047292143401983</v>
      </c>
      <c r="D409">
        <v>1.8252473194715952</v>
      </c>
      <c r="E409">
        <v>1.7071610529295216</v>
      </c>
      <c r="F409">
        <v>1.7638193718717343</v>
      </c>
      <c r="G409">
        <v>1.5876063062615009</v>
      </c>
      <c r="H409">
        <v>1.5972592310620479</v>
      </c>
      <c r="I409">
        <v>1.7030867841781225</v>
      </c>
      <c r="J409">
        <v>1.6005451959544881</v>
      </c>
      <c r="K409">
        <v>1.517100014773231</v>
      </c>
    </row>
    <row r="410" spans="1:11" x14ac:dyDescent="0.3">
      <c r="A410" s="1" t="str">
        <f>HYPERLINK("[.\tse_pressure_data\2486.xlsx]2486!$A268","﻿一詮            ")</f>
        <v xml:space="preserve">﻿一詮            </v>
      </c>
      <c r="B410">
        <v>0.85718266130637266</v>
      </c>
      <c r="C410">
        <v>0.76476992306575697</v>
      </c>
      <c r="D410">
        <v>0.73546258700696054</v>
      </c>
      <c r="E410">
        <v>0.70102113512229869</v>
      </c>
      <c r="F410">
        <v>0.69457662701189649</v>
      </c>
      <c r="G410">
        <v>0.68779283951500414</v>
      </c>
      <c r="H410">
        <v>0.65466763530693783</v>
      </c>
      <c r="I410">
        <v>0.71202839156702857</v>
      </c>
      <c r="J410">
        <v>0.78330713303202992</v>
      </c>
      <c r="K410">
        <v>0.76526832198638362</v>
      </c>
    </row>
    <row r="411" spans="1:11" x14ac:dyDescent="0.3">
      <c r="A411" s="1" t="str">
        <f>HYPERLINK("[.\tse_pressure_data\2488.xlsx]2488!$A268","﻿漢平            ")</f>
        <v xml:space="preserve">﻿漢平            </v>
      </c>
      <c r="B411">
        <v>1.5733333333333333</v>
      </c>
      <c r="C411">
        <v>1.7437619961612285</v>
      </c>
      <c r="D411">
        <v>1.0965732087227413</v>
      </c>
      <c r="E411">
        <v>1.024707412223667</v>
      </c>
      <c r="F411">
        <v>0.97911051212938005</v>
      </c>
      <c r="G411">
        <v>0.96129032258064517</v>
      </c>
      <c r="H411">
        <v>1.1677989130434783</v>
      </c>
      <c r="I411">
        <v>1.2216884008236102</v>
      </c>
      <c r="J411">
        <v>0.95504252733900363</v>
      </c>
      <c r="K411">
        <v>0.74650000000000005</v>
      </c>
    </row>
    <row r="412" spans="1:11" x14ac:dyDescent="0.3">
      <c r="A412" s="1" t="str">
        <f>HYPERLINK("[.\tse_pressure_data\2489.xlsx]2489!$A268","﻿瑞軒            ")</f>
        <v xml:space="preserve">﻿瑞軒            </v>
      </c>
      <c r="B412">
        <v>0.61068228636668243</v>
      </c>
      <c r="C412">
        <v>0.65076760190577021</v>
      </c>
      <c r="D412">
        <v>0.54931107426676573</v>
      </c>
      <c r="E412">
        <v>0.91304945054945053</v>
      </c>
      <c r="F412">
        <v>0.92797494780793321</v>
      </c>
      <c r="G412">
        <v>0.92935308928917293</v>
      </c>
      <c r="H412">
        <v>0.92909389461113601</v>
      </c>
      <c r="I412">
        <v>0.94282332355514387</v>
      </c>
      <c r="J412">
        <v>0.93017032882210671</v>
      </c>
      <c r="K412">
        <v>0.95271892843801698</v>
      </c>
    </row>
    <row r="413" spans="1:11" x14ac:dyDescent="0.3">
      <c r="A413" s="1" t="str">
        <f>HYPERLINK("[.\tse_pressure_data\2491.xlsx]2491!$A268","﻿吉祥全          ")</f>
        <v xml:space="preserve">﻿吉祥全          </v>
      </c>
      <c r="B413">
        <v>1.1475409836065573</v>
      </c>
      <c r="C413">
        <v>1.1313131313131313</v>
      </c>
      <c r="D413">
        <v>1.0470219435736676</v>
      </c>
      <c r="E413">
        <v>1.0384615384615385</v>
      </c>
      <c r="F413">
        <v>0.99044585987261147</v>
      </c>
      <c r="G413">
        <v>0.80097087378640774</v>
      </c>
      <c r="H413">
        <v>1.3615635179153094</v>
      </c>
      <c r="I413">
        <v>1.3645161290322581</v>
      </c>
      <c r="J413">
        <v>1.3527508090614886</v>
      </c>
      <c r="K413">
        <v>1.3533123028391167</v>
      </c>
    </row>
    <row r="414" spans="1:11" x14ac:dyDescent="0.3">
      <c r="A414" s="1" t="str">
        <f>HYPERLINK("[.\tse_pressure_data\2492.xlsx]2492!$A268","﻿華新科          ")</f>
        <v xml:space="preserve">﻿華新科          </v>
      </c>
      <c r="B414">
        <v>1.1133227043993823</v>
      </c>
      <c r="C414">
        <v>1.0136048926840526</v>
      </c>
      <c r="D414">
        <v>1.0580787099341158</v>
      </c>
      <c r="E414">
        <v>1.1536440741574721</v>
      </c>
      <c r="F414">
        <v>1.0743320537915957</v>
      </c>
      <c r="G414">
        <v>1.0714749756377902</v>
      </c>
      <c r="H414">
        <v>1.0741491242788368</v>
      </c>
      <c r="I414">
        <v>0.99295765480793008</v>
      </c>
      <c r="J414">
        <v>1.0811424951454973</v>
      </c>
      <c r="K414">
        <v>1.0740850559132498</v>
      </c>
    </row>
    <row r="415" spans="1:11" x14ac:dyDescent="0.3">
      <c r="A415" s="1" t="str">
        <f>HYPERLINK("[.\tse_pressure_data\2493.xlsx]2493!$A268","﻿揚博            ")</f>
        <v xml:space="preserve">﻿揚博            </v>
      </c>
      <c r="B415">
        <v>1.0746359223300972</v>
      </c>
      <c r="C415">
        <v>1.0244186046511627</v>
      </c>
      <c r="D415">
        <v>0.97613636363636369</v>
      </c>
      <c r="E415">
        <v>0.90843104410943609</v>
      </c>
      <c r="F415">
        <v>0.93318233295583242</v>
      </c>
      <c r="G415">
        <v>0.85369955156950672</v>
      </c>
      <c r="H415">
        <v>0.851457399103139</v>
      </c>
      <c r="I415">
        <v>0.75294117647058822</v>
      </c>
      <c r="J415">
        <v>0.71436170212765959</v>
      </c>
      <c r="K415">
        <v>0.67168998923573731</v>
      </c>
    </row>
    <row r="416" spans="1:11" x14ac:dyDescent="0.3">
      <c r="A416" s="1" t="str">
        <f>HYPERLINK("[.\tse_pressure_data\2495.xlsx]2495!$A268","﻿普安            ")</f>
        <v xml:space="preserve">﻿普安            </v>
      </c>
      <c r="B416">
        <v>0.87226082308925712</v>
      </c>
      <c r="C416">
        <v>0.91751443497387952</v>
      </c>
      <c r="D416">
        <v>0.89671106278880131</v>
      </c>
      <c r="E416">
        <v>0.98768472906403937</v>
      </c>
      <c r="F416">
        <v>0.96762974852862493</v>
      </c>
      <c r="G416">
        <v>0.89935483870967747</v>
      </c>
      <c r="H416">
        <v>0.91508678237650198</v>
      </c>
      <c r="I416">
        <v>0.89503355704697984</v>
      </c>
      <c r="J416">
        <v>0.84332533972821744</v>
      </c>
      <c r="K416">
        <v>0.8393189678105879</v>
      </c>
    </row>
    <row r="417" spans="1:11" x14ac:dyDescent="0.3">
      <c r="A417" s="1" t="str">
        <f>HYPERLINK("[.\tse_pressure_data\2496.xlsx]2496!$A268","﻿卓越            ")</f>
        <v xml:space="preserve">﻿卓越            </v>
      </c>
      <c r="B417">
        <v>1.0484369632428718</v>
      </c>
      <c r="C417">
        <v>0.96298543689320393</v>
      </c>
      <c r="D417">
        <v>0.95266807356044614</v>
      </c>
      <c r="E417">
        <v>0.9692903995229577</v>
      </c>
      <c r="F417">
        <v>0.97443820224719102</v>
      </c>
      <c r="G417">
        <v>0.99514955537590943</v>
      </c>
      <c r="H417">
        <v>0.84085778781038378</v>
      </c>
      <c r="I417">
        <v>0.82141250562303192</v>
      </c>
      <c r="J417">
        <v>0.79113783121799153</v>
      </c>
      <c r="K417">
        <v>0.77549654095068066</v>
      </c>
    </row>
    <row r="418" spans="1:11" x14ac:dyDescent="0.3">
      <c r="A418" s="1" t="str">
        <f>HYPERLINK("[.\tse_pressure_data\2497.xlsx]2497!$A268","﻿怡利電          ")</f>
        <v xml:space="preserve">﻿怡利電          </v>
      </c>
      <c r="B418">
        <v>1.4895833333333333</v>
      </c>
      <c r="C418">
        <v>1.5821229050279331</v>
      </c>
      <c r="D418">
        <v>1.984931506849315</v>
      </c>
      <c r="E418">
        <v>1.2967786154900618</v>
      </c>
      <c r="F418">
        <v>1.1264845605700713</v>
      </c>
      <c r="G418">
        <v>1.2100893997445721</v>
      </c>
      <c r="H418">
        <v>1.2534024627349321</v>
      </c>
      <c r="I418">
        <v>1.2474683544303797</v>
      </c>
      <c r="J418">
        <v>1.2506361323155217</v>
      </c>
      <c r="K418">
        <v>1.2958015267175573</v>
      </c>
    </row>
    <row r="419" spans="1:11" x14ac:dyDescent="0.3">
      <c r="A419" s="1" t="str">
        <f>HYPERLINK("[.\tse_pressure_data\2498.xlsx]2498!$A268","﻿宏達電          ")</f>
        <v xml:space="preserve">﻿宏達電          </v>
      </c>
      <c r="B419">
        <v>1.7223978456855169</v>
      </c>
      <c r="C419">
        <v>1.4535934614326693</v>
      </c>
      <c r="D419">
        <v>1.5428063717712763</v>
      </c>
      <c r="E419">
        <v>1.7599736459469284</v>
      </c>
      <c r="F419">
        <v>1.748282854713155</v>
      </c>
      <c r="G419">
        <v>1.6390734153345048</v>
      </c>
      <c r="H419">
        <v>1.7600798761470977</v>
      </c>
      <c r="I419">
        <v>1.8543108662052281</v>
      </c>
      <c r="J419">
        <v>1.4024679713903954</v>
      </c>
      <c r="K419">
        <v>1.3316932073632748</v>
      </c>
    </row>
    <row r="420" spans="1:11" x14ac:dyDescent="0.3">
      <c r="A420" s="1" t="str">
        <f>HYPERLINK("[.\tse_pressure_data\2499.xlsx]2499!$A268","﻿東貝            ")</f>
        <v xml:space="preserve">﻿東貝            </v>
      </c>
      <c r="B420">
        <v>0.86879954090599332</v>
      </c>
      <c r="C420">
        <v>0.79410557425498729</v>
      </c>
      <c r="D420">
        <v>0.81145780697321879</v>
      </c>
      <c r="E420">
        <v>0.82317208917724138</v>
      </c>
      <c r="F420">
        <v>0.81456323006602338</v>
      </c>
      <c r="G420">
        <v>0.82128668460848386</v>
      </c>
      <c r="H420">
        <v>0.81439012096774188</v>
      </c>
      <c r="I420">
        <v>0.82289734569875284</v>
      </c>
      <c r="J420">
        <v>0.86733026860681584</v>
      </c>
      <c r="K420">
        <v>0.87585021016431031</v>
      </c>
    </row>
    <row r="421" spans="1:11" x14ac:dyDescent="0.3">
      <c r="A421" s="1" t="str">
        <f>HYPERLINK("[.\tse_pressure_data\2501.xlsx]2501!$A268","﻿國建            ")</f>
        <v xml:space="preserve">﻿國建            </v>
      </c>
      <c r="B421">
        <v>1.2014755442207852</v>
      </c>
      <c r="C421">
        <v>1.2704701049748972</v>
      </c>
      <c r="D421">
        <v>1.0990392313851081</v>
      </c>
      <c r="E421">
        <v>1.0476592478894857</v>
      </c>
      <c r="F421">
        <v>1.0963398591658284</v>
      </c>
      <c r="G421">
        <v>1.147104486880919</v>
      </c>
      <c r="H421">
        <v>1.0658780036968576</v>
      </c>
      <c r="I421">
        <v>1.0923829489867225</v>
      </c>
      <c r="J421">
        <v>1.1655678148546824</v>
      </c>
      <c r="K421">
        <v>1.1577579100881366</v>
      </c>
    </row>
    <row r="422" spans="1:11" x14ac:dyDescent="0.3">
      <c r="A422" s="1" t="str">
        <f>HYPERLINK("[.\tse_pressure_data\2504.xlsx]2504!$A268","﻿國產            ")</f>
        <v xml:space="preserve">﻿國產            </v>
      </c>
      <c r="B422">
        <v>1.0336713995943205</v>
      </c>
      <c r="C422">
        <v>1.0787535410764872</v>
      </c>
      <c r="D422">
        <v>1.0855005630328705</v>
      </c>
      <c r="E422">
        <v>1.0180795770230306</v>
      </c>
      <c r="F422">
        <v>0.93216942148760329</v>
      </c>
      <c r="G422">
        <v>0.93001078033004392</v>
      </c>
      <c r="H422">
        <v>0.932709271674381</v>
      </c>
      <c r="I422">
        <v>0.93569608621193767</v>
      </c>
      <c r="J422">
        <v>0.89653676075546551</v>
      </c>
      <c r="K422">
        <v>0.85331776285607042</v>
      </c>
    </row>
    <row r="423" spans="1:11" x14ac:dyDescent="0.3">
      <c r="A423" s="1" t="str">
        <f>HYPERLINK("[.\tse_pressure_data\2505.xlsx]2505!$A268","﻿國揚            ")</f>
        <v xml:space="preserve">﻿國揚            </v>
      </c>
      <c r="B423">
        <v>0.74241705411645631</v>
      </c>
      <c r="C423">
        <v>0.83786902586787193</v>
      </c>
      <c r="D423">
        <v>0.83645332658740201</v>
      </c>
      <c r="E423">
        <v>0.81692789968652035</v>
      </c>
      <c r="F423">
        <v>0.77105996188242198</v>
      </c>
      <c r="G423">
        <v>0.82725846358095467</v>
      </c>
      <c r="H423">
        <v>0.87573373298363932</v>
      </c>
      <c r="I423">
        <v>0.78632574588116422</v>
      </c>
      <c r="J423">
        <v>0.71310687389841376</v>
      </c>
      <c r="K423">
        <v>0.82472488734941607</v>
      </c>
    </row>
    <row r="424" spans="1:11" x14ac:dyDescent="0.3">
      <c r="A424" s="1" t="str">
        <f>HYPERLINK("[.\tse_pressure_data\2506.xlsx]2506!$A268","﻿太設            ")</f>
        <v xml:space="preserve">﻿太設            </v>
      </c>
      <c r="B424">
        <v>0.60500399254724513</v>
      </c>
      <c r="C424">
        <v>0.48283438615764901</v>
      </c>
      <c r="D424">
        <v>0.40624113475177304</v>
      </c>
      <c r="E424">
        <v>0.31785345717234265</v>
      </c>
      <c r="F424">
        <v>0.77124183006535951</v>
      </c>
      <c r="G424">
        <v>0.78132482043096563</v>
      </c>
      <c r="H424">
        <v>0.83974358974358976</v>
      </c>
      <c r="I424">
        <v>0.96496496496496498</v>
      </c>
      <c r="J424">
        <v>0.84607938044530495</v>
      </c>
      <c r="K424">
        <v>0.83349374398460063</v>
      </c>
    </row>
    <row r="425" spans="1:11" x14ac:dyDescent="0.3">
      <c r="A425" s="1" t="str">
        <f>HYPERLINK("[.\tse_pressure_data\2509.xlsx]2509!$A268","﻿全坤建          ")</f>
        <v xml:space="preserve">﻿全坤建          </v>
      </c>
      <c r="B425">
        <v>1.1028871391076116</v>
      </c>
      <c r="C425">
        <v>1.106272680145153</v>
      </c>
      <c r="D425">
        <v>1.0916833667334669</v>
      </c>
      <c r="E425">
        <v>1.0710760118460019</v>
      </c>
      <c r="F425">
        <v>1.1717729784028126</v>
      </c>
      <c r="G425">
        <v>1.3157894736842106</v>
      </c>
      <c r="H425">
        <v>1.178721174004193</v>
      </c>
      <c r="I425">
        <v>1.0634573304157549</v>
      </c>
      <c r="J425">
        <v>1.0714285714285714</v>
      </c>
      <c r="K425">
        <v>1.1014492753623188</v>
      </c>
    </row>
    <row r="426" spans="1:11" x14ac:dyDescent="0.3">
      <c r="A426" s="1" t="str">
        <f>HYPERLINK("[.\tse_pressure_data\2511.xlsx]2511!$A268","﻿太子            ")</f>
        <v xml:space="preserve">﻿太子            </v>
      </c>
      <c r="B426">
        <v>0.73089735224423913</v>
      </c>
      <c r="C426">
        <v>0.75405594405594401</v>
      </c>
      <c r="D426">
        <v>0.74565555480424639</v>
      </c>
      <c r="E426">
        <v>0.71138620504562533</v>
      </c>
      <c r="F426">
        <v>0.71139371025949472</v>
      </c>
      <c r="G426">
        <v>0.68186230326561736</v>
      </c>
      <c r="H426">
        <v>0.69418645870258777</v>
      </c>
      <c r="I426">
        <v>0.65710440572319029</v>
      </c>
      <c r="J426">
        <v>0.63488288288288286</v>
      </c>
      <c r="K426">
        <v>0.65960498731104489</v>
      </c>
    </row>
    <row r="427" spans="1:11" x14ac:dyDescent="0.3">
      <c r="A427" s="1" t="str">
        <f>HYPERLINK("[.\tse_pressure_data\2514.xlsx]2514!$A268","﻿龍邦            ")</f>
        <v xml:space="preserve">﻿龍邦            </v>
      </c>
      <c r="B427">
        <v>1.2544587674377539</v>
      </c>
      <c r="C427">
        <v>1.3424454508027994</v>
      </c>
      <c r="D427">
        <v>1.3635159846144145</v>
      </c>
      <c r="E427">
        <v>1.3838016950232588</v>
      </c>
      <c r="F427">
        <v>1.3563232883621232</v>
      </c>
      <c r="G427">
        <v>1.3211647377493227</v>
      </c>
      <c r="H427">
        <v>1.29156494140625</v>
      </c>
      <c r="I427">
        <v>1.2262817803007429</v>
      </c>
      <c r="J427">
        <v>1.203125</v>
      </c>
      <c r="K427">
        <v>1.1923355461677732</v>
      </c>
    </row>
    <row r="428" spans="1:11" x14ac:dyDescent="0.3">
      <c r="A428" s="1" t="str">
        <f>HYPERLINK("[.\tse_pressure_data\2515.xlsx]2515!$A268","﻿中工            ")</f>
        <v xml:space="preserve">﻿中工            </v>
      </c>
      <c r="B428">
        <v>1.7212463338484343</v>
      </c>
      <c r="C428">
        <v>1.7625903813739545</v>
      </c>
      <c r="D428">
        <v>1.8167559174878798</v>
      </c>
      <c r="E428">
        <v>1.8635494222348683</v>
      </c>
      <c r="F428">
        <v>1.8520227609322628</v>
      </c>
      <c r="G428">
        <v>1.8637785800240674</v>
      </c>
      <c r="H428">
        <v>1.8775603931294205</v>
      </c>
      <c r="I428">
        <v>2.0232834665265602</v>
      </c>
      <c r="J428">
        <v>1.5156845136716937</v>
      </c>
      <c r="K428">
        <v>1.3458499358411562</v>
      </c>
    </row>
    <row r="429" spans="1:11" x14ac:dyDescent="0.3">
      <c r="A429" s="1" t="str">
        <f>HYPERLINK("[.\tse_pressure_data\2516.xlsx]2516!$A268","﻿新建            ")</f>
        <v xml:space="preserve">﻿新建            </v>
      </c>
      <c r="B429">
        <v>1.4234620886981402</v>
      </c>
      <c r="C429">
        <v>1.5413476263399695</v>
      </c>
      <c r="D429">
        <v>1.3494221617946975</v>
      </c>
      <c r="E429">
        <v>1.3837981407702524</v>
      </c>
      <c r="F429">
        <v>1.2274143302180685</v>
      </c>
      <c r="G429">
        <v>1.0879268620596934</v>
      </c>
      <c r="H429">
        <v>1.2277662874870734</v>
      </c>
      <c r="I429">
        <v>1.0215488215488215</v>
      </c>
      <c r="J429">
        <v>1.0059432093330398</v>
      </c>
      <c r="K429">
        <v>0.99005190311418689</v>
      </c>
    </row>
    <row r="430" spans="1:11" x14ac:dyDescent="0.3">
      <c r="A430" s="1" t="str">
        <f>HYPERLINK("[.\tse_pressure_data\2520.xlsx]2520!$A268","﻿冠德            ")</f>
        <v xml:space="preserve">﻿冠德            </v>
      </c>
      <c r="B430">
        <v>1.1583467059895043</v>
      </c>
      <c r="C430">
        <v>1.1417577312299272</v>
      </c>
      <c r="D430">
        <v>0.89560630939941288</v>
      </c>
      <c r="E430">
        <v>0.87639762544442479</v>
      </c>
      <c r="F430">
        <v>0.87085814082718105</v>
      </c>
      <c r="G430">
        <v>0.84299732381801962</v>
      </c>
      <c r="H430">
        <v>0.81312107367218733</v>
      </c>
      <c r="I430">
        <v>0.80773858710622071</v>
      </c>
      <c r="J430">
        <v>0.76333270346090676</v>
      </c>
      <c r="K430">
        <v>0.76189829075315574</v>
      </c>
    </row>
    <row r="431" spans="1:11" x14ac:dyDescent="0.3">
      <c r="A431" s="1" t="str">
        <f>HYPERLINK("[.\tse_pressure_data\2524.xlsx]2524!$A268","﻿京城            ")</f>
        <v xml:space="preserve">﻿京城            </v>
      </c>
      <c r="B431">
        <v>0.79945242984257359</v>
      </c>
      <c r="C431">
        <v>0.77354421279654928</v>
      </c>
      <c r="D431">
        <v>0.72377158034528555</v>
      </c>
      <c r="E431">
        <v>0.69178921568627449</v>
      </c>
      <c r="F431">
        <v>0.75764705882352945</v>
      </c>
      <c r="G431">
        <v>0.75236966824644547</v>
      </c>
      <c r="H431">
        <v>0.76196032672112024</v>
      </c>
      <c r="I431">
        <v>0.7260044642857143</v>
      </c>
      <c r="J431">
        <v>0.69607285145133746</v>
      </c>
      <c r="K431">
        <v>0.70571904497501392</v>
      </c>
    </row>
    <row r="432" spans="1:11" x14ac:dyDescent="0.3">
      <c r="A432" s="1" t="str">
        <f>HYPERLINK("[.\tse_pressure_data\2527.xlsx]2527!$A268","﻿宏璟            ")</f>
        <v xml:space="preserve">﻿宏璟            </v>
      </c>
      <c r="B432">
        <v>1.192372406057207</v>
      </c>
      <c r="C432">
        <v>1.1776221264367817</v>
      </c>
      <c r="D432">
        <v>1.2486217321714388</v>
      </c>
      <c r="E432">
        <v>1.2251700680272108</v>
      </c>
      <c r="F432">
        <v>1.1037810473026419</v>
      </c>
      <c r="G432">
        <v>0.91373112868439976</v>
      </c>
      <c r="H432">
        <v>1.0975129970493185</v>
      </c>
      <c r="I432">
        <v>0.90633478825056035</v>
      </c>
      <c r="J432">
        <v>0.81039129028780854</v>
      </c>
      <c r="K432">
        <v>0.78462032772839241</v>
      </c>
    </row>
    <row r="433" spans="1:11" x14ac:dyDescent="0.3">
      <c r="A433" s="1" t="str">
        <f>HYPERLINK("[.\tse_pressure_data\2528.xlsx]2528!$A268","﻿皇普            ")</f>
        <v xml:space="preserve">﻿皇普            </v>
      </c>
      <c r="B433">
        <v>1.7046004842615012</v>
      </c>
      <c r="C433">
        <v>2.1886227544910182</v>
      </c>
      <c r="D433">
        <v>2.1387283236994219</v>
      </c>
      <c r="E433">
        <v>2.1471471471471473</v>
      </c>
      <c r="F433">
        <v>2.2129629629629628</v>
      </c>
      <c r="G433">
        <v>1.9710982658959537</v>
      </c>
      <c r="H433">
        <v>2.2177650429799427</v>
      </c>
      <c r="I433">
        <v>2.1326781326781328</v>
      </c>
      <c r="J433">
        <v>2.1597222222222223</v>
      </c>
      <c r="K433">
        <v>1.899343544857768</v>
      </c>
    </row>
    <row r="434" spans="1:11" x14ac:dyDescent="0.3">
      <c r="A434" s="1" t="str">
        <f>HYPERLINK("[.\tse_pressure_data\2530.xlsx]2530!$A268","﻿華建            ")</f>
        <v xml:space="preserve">﻿華建            </v>
      </c>
      <c r="B434">
        <v>1.0950806118230674</v>
      </c>
      <c r="C434">
        <v>1.1063829787234043</v>
      </c>
      <c r="D434">
        <v>1.0182852498984152</v>
      </c>
      <c r="E434">
        <v>0.99961861174675815</v>
      </c>
      <c r="F434">
        <v>1.0363349131121642</v>
      </c>
      <c r="G434">
        <v>0.9383585769637196</v>
      </c>
      <c r="H434">
        <v>1.2986674391657009</v>
      </c>
      <c r="I434">
        <v>1.1327546051238619</v>
      </c>
      <c r="J434">
        <v>1.0736504113987557</v>
      </c>
      <c r="K434">
        <v>0.90026463777704269</v>
      </c>
    </row>
    <row r="435" spans="1:11" x14ac:dyDescent="0.3">
      <c r="A435" s="1" t="str">
        <f>HYPERLINK("[.\tse_pressure_data\2534.xlsx]2534!$A268","﻿宏盛            ")</f>
        <v xml:space="preserve">﻿宏盛            </v>
      </c>
      <c r="B435">
        <v>1.2032603708401932</v>
      </c>
      <c r="C435">
        <v>1.2556556825823806</v>
      </c>
      <c r="D435">
        <v>1.082868804664723</v>
      </c>
      <c r="E435">
        <v>1.0436599679886183</v>
      </c>
      <c r="F435">
        <v>1.0070032681918228</v>
      </c>
      <c r="G435">
        <v>0.96298270157440102</v>
      </c>
      <c r="H435">
        <v>0.97061520227206655</v>
      </c>
      <c r="I435">
        <v>0.93830741426627096</v>
      </c>
      <c r="J435">
        <v>0.9409405349376958</v>
      </c>
      <c r="K435">
        <v>0.9472612092315269</v>
      </c>
    </row>
    <row r="436" spans="1:11" x14ac:dyDescent="0.3">
      <c r="A436" s="1" t="str">
        <f>HYPERLINK("[.\tse_pressure_data\2535.xlsx]2535!$A268","﻿達欣工          ")</f>
        <v xml:space="preserve">﻿達欣工          </v>
      </c>
      <c r="B436">
        <v>1.1355206847360912</v>
      </c>
      <c r="C436">
        <v>1.1576589190702884</v>
      </c>
      <c r="D436">
        <v>0.81954022988505748</v>
      </c>
      <c r="E436">
        <v>0.75997072813757771</v>
      </c>
      <c r="F436">
        <v>0.76589147286821702</v>
      </c>
      <c r="G436">
        <v>0.69546171368494836</v>
      </c>
      <c r="H436">
        <v>0.68008948545861303</v>
      </c>
      <c r="I436">
        <v>0.63465220165922143</v>
      </c>
      <c r="J436">
        <v>0.61964776215866857</v>
      </c>
      <c r="K436">
        <v>0.59601328903654482</v>
      </c>
    </row>
    <row r="437" spans="1:11" x14ac:dyDescent="0.3">
      <c r="A437" s="1" t="str">
        <f>HYPERLINK("[.\tse_pressure_data\2536.xlsx]2536!$A268","﻿宏普            ")</f>
        <v xml:space="preserve">﻿宏普            </v>
      </c>
      <c r="B437">
        <v>1.023869104908566</v>
      </c>
      <c r="C437">
        <v>0.94963386318985532</v>
      </c>
      <c r="D437">
        <v>0.90028975626384866</v>
      </c>
      <c r="E437">
        <v>0.84691079206323605</v>
      </c>
      <c r="F437">
        <v>0.87353668590272049</v>
      </c>
      <c r="G437">
        <v>0.8721170669635756</v>
      </c>
      <c r="H437">
        <v>0.84574798261949102</v>
      </c>
      <c r="I437">
        <v>0.87678460583488516</v>
      </c>
      <c r="J437">
        <v>0.88897750837454137</v>
      </c>
      <c r="K437">
        <v>0.91666666666666663</v>
      </c>
    </row>
    <row r="438" spans="1:11" x14ac:dyDescent="0.3">
      <c r="A438" s="1" t="str">
        <f>HYPERLINK("[.\tse_pressure_data\2537.xlsx]2537!$A268","﻿聯上發          ")</f>
        <v xml:space="preserve">﻿聯上發          </v>
      </c>
      <c r="B438">
        <v>1.8146796431467964</v>
      </c>
      <c r="C438">
        <v>1.2971014492753623</v>
      </c>
      <c r="D438">
        <v>1.1163231461738925</v>
      </c>
      <c r="E438">
        <v>1.1100000000000001</v>
      </c>
      <c r="F438">
        <v>1.0728643216080402</v>
      </c>
      <c r="G438">
        <v>1.0744946627299568</v>
      </c>
      <c r="H438">
        <v>1.1146481570129247</v>
      </c>
      <c r="I438">
        <v>1.0911927045836334</v>
      </c>
      <c r="J438">
        <v>1.0106736242884251</v>
      </c>
      <c r="K438">
        <v>0.9948598130841122</v>
      </c>
    </row>
    <row r="439" spans="1:11" x14ac:dyDescent="0.3">
      <c r="A439" s="1" t="str">
        <f>HYPERLINK("[.\tse_pressure_data\2538.xlsx]2538!$A268","﻿基泰            ")</f>
        <v xml:space="preserve">﻿基泰            </v>
      </c>
      <c r="B439">
        <v>0.99092607419268752</v>
      </c>
      <c r="C439">
        <v>0.98936717544160524</v>
      </c>
      <c r="D439">
        <v>0.91102279179171064</v>
      </c>
      <c r="E439">
        <v>0.85627514396150506</v>
      </c>
      <c r="F439">
        <v>0.94473500697350066</v>
      </c>
      <c r="G439">
        <v>0.94763572679509633</v>
      </c>
      <c r="H439">
        <v>0.96650632460359875</v>
      </c>
      <c r="I439">
        <v>0.94901610017889093</v>
      </c>
      <c r="J439">
        <v>0.90949266395616046</v>
      </c>
      <c r="K439">
        <v>0.89230769230769236</v>
      </c>
    </row>
    <row r="440" spans="1:11" x14ac:dyDescent="0.3">
      <c r="A440" s="1" t="str">
        <f>HYPERLINK("[.\tse_pressure_data\2539.xlsx]2539!$A268","﻿櫻花建          ")</f>
        <v xml:space="preserve">﻿櫻花建          </v>
      </c>
      <c r="B440">
        <v>1.1485319516407599</v>
      </c>
      <c r="C440">
        <v>1.112396694214876</v>
      </c>
      <c r="D440">
        <v>1.1122448979591837</v>
      </c>
      <c r="E440">
        <v>1.0377668308702792</v>
      </c>
      <c r="F440">
        <v>1.1729323308270676</v>
      </c>
      <c r="G440">
        <v>1.3003802281368821</v>
      </c>
      <c r="H440">
        <v>1.3838771593090211</v>
      </c>
      <c r="I440">
        <v>1.2879078694817658</v>
      </c>
      <c r="J440">
        <v>1.4435075885328836</v>
      </c>
      <c r="K440">
        <v>1.1873156342182891</v>
      </c>
    </row>
    <row r="441" spans="1:11" x14ac:dyDescent="0.3">
      <c r="A441" s="1" t="str">
        <f>HYPERLINK("[.\tse_pressure_data\2540.xlsx]2540!$A268","﻿愛山林          ")</f>
        <v xml:space="preserve">﻿愛山林          </v>
      </c>
      <c r="B441">
        <v>1.0319361277445109</v>
      </c>
      <c r="C441">
        <v>1.0338645418326693</v>
      </c>
      <c r="D441">
        <v>1.0509164969450102</v>
      </c>
      <c r="E441">
        <v>1.068041237113402</v>
      </c>
      <c r="F441">
        <v>1.126338329764454</v>
      </c>
      <c r="G441">
        <v>1.1225806451612903</v>
      </c>
      <c r="H441">
        <v>1.1019522776572668</v>
      </c>
      <c r="I441">
        <v>1.1054945054945056</v>
      </c>
      <c r="J441">
        <v>1.0770925110132159</v>
      </c>
      <c r="K441">
        <v>1.0109890109890109</v>
      </c>
    </row>
    <row r="442" spans="1:11" x14ac:dyDescent="0.3">
      <c r="A442" s="1" t="str">
        <f>HYPERLINK("[.\tse_pressure_data\2542.xlsx]2542!$A268","﻿興富發          ")</f>
        <v xml:space="preserve">﻿興富發          </v>
      </c>
      <c r="B442">
        <v>0.71040470148256973</v>
      </c>
      <c r="C442">
        <v>0.75751055201522799</v>
      </c>
      <c r="D442">
        <v>0.63712109594642952</v>
      </c>
      <c r="E442">
        <v>0.58603636732520104</v>
      </c>
      <c r="F442">
        <v>0.69545468309965786</v>
      </c>
      <c r="G442">
        <v>0.70801379726064095</v>
      </c>
      <c r="H442">
        <v>0.7129043853342919</v>
      </c>
      <c r="I442">
        <v>0.87785775725474213</v>
      </c>
      <c r="J442">
        <v>0.88998935530152268</v>
      </c>
      <c r="K442">
        <v>0.91043302458977859</v>
      </c>
    </row>
    <row r="443" spans="1:11" x14ac:dyDescent="0.3">
      <c r="A443" s="1" t="str">
        <f>HYPERLINK("[.\tse_pressure_data\2543.xlsx]2543!$A268","﻿皇昌            ")</f>
        <v xml:space="preserve">﻿皇昌            </v>
      </c>
      <c r="B443">
        <v>1.075880758807588</v>
      </c>
      <c r="C443">
        <v>1.0733695652173914</v>
      </c>
      <c r="D443">
        <v>1.0245098039215685</v>
      </c>
      <c r="E443">
        <v>1.1342105263157896</v>
      </c>
      <c r="F443">
        <v>1.1367088607594937</v>
      </c>
      <c r="G443">
        <v>1.0709046454767726</v>
      </c>
      <c r="H443">
        <v>1.0117096018735363</v>
      </c>
      <c r="I443">
        <v>0.74141048824593125</v>
      </c>
      <c r="J443">
        <v>0.56137184115523464</v>
      </c>
      <c r="K443">
        <v>0.48587570621468928</v>
      </c>
    </row>
    <row r="444" spans="1:11" x14ac:dyDescent="0.3">
      <c r="A444" s="1" t="str">
        <f>HYPERLINK("[.\tse_pressure_data\2545.xlsx]2545!$A268","﻿皇翔            ")</f>
        <v xml:space="preserve">﻿皇翔            </v>
      </c>
      <c r="B444">
        <v>0.95956506965681276</v>
      </c>
      <c r="C444">
        <v>0.71696094168004276</v>
      </c>
      <c r="D444">
        <v>0.67035864978902948</v>
      </c>
      <c r="E444">
        <v>0.6553258309343104</v>
      </c>
      <c r="F444">
        <v>0.64968652037617558</v>
      </c>
      <c r="G444">
        <v>0.65105137077455422</v>
      </c>
      <c r="H444">
        <v>0.61890007745933384</v>
      </c>
      <c r="I444">
        <v>0.63021390374331554</v>
      </c>
      <c r="J444">
        <v>0.63318895506226314</v>
      </c>
      <c r="K444">
        <v>0.61166579085654227</v>
      </c>
    </row>
    <row r="445" spans="1:11" x14ac:dyDescent="0.3">
      <c r="A445" s="1" t="str">
        <f>HYPERLINK("[.\tse_pressure_data\2546.xlsx]2546!$A268","﻿根基            ")</f>
        <v xml:space="preserve">﻿根基            </v>
      </c>
      <c r="B445">
        <v>0.80909653465346532</v>
      </c>
      <c r="C445">
        <v>0.86765158510310869</v>
      </c>
      <c r="D445">
        <v>0.74063722750139738</v>
      </c>
      <c r="E445">
        <v>0.69630423138725228</v>
      </c>
      <c r="F445">
        <v>0.66258786774277534</v>
      </c>
      <c r="G445">
        <v>0.66509310254392862</v>
      </c>
      <c r="H445">
        <v>0.65903771131339406</v>
      </c>
      <c r="I445">
        <v>0.6225082008579359</v>
      </c>
      <c r="J445">
        <v>0.63900523560209421</v>
      </c>
      <c r="K445">
        <v>0.61345646437994727</v>
      </c>
    </row>
    <row r="446" spans="1:11" x14ac:dyDescent="0.3">
      <c r="A446" s="1" t="str">
        <f>HYPERLINK("[.\tse_pressure_data\2547.xlsx]2547!$A268","﻿日勝生          ")</f>
        <v xml:space="preserve">﻿日勝生          </v>
      </c>
      <c r="B446">
        <v>1.3217419564510888</v>
      </c>
      <c r="C446">
        <v>1.3775028487709589</v>
      </c>
      <c r="D446">
        <v>1.2911637609894204</v>
      </c>
      <c r="E446">
        <v>1.2478435882691201</v>
      </c>
      <c r="F446">
        <v>1.2191780821917808</v>
      </c>
      <c r="G446">
        <v>1.1788238620299689</v>
      </c>
      <c r="H446">
        <v>1.184535503788942</v>
      </c>
      <c r="I446">
        <v>1.1423384168482207</v>
      </c>
      <c r="J446">
        <v>1.1916817359855334</v>
      </c>
      <c r="K446">
        <v>1.1982666869393341</v>
      </c>
    </row>
    <row r="447" spans="1:11" x14ac:dyDescent="0.3">
      <c r="A447" s="1" t="str">
        <f>HYPERLINK("[.\tse_pressure_data\2548.xlsx]2548!$A268","﻿華固            ")</f>
        <v xml:space="preserve">﻿華固            </v>
      </c>
      <c r="B447">
        <v>1.049225255612944</v>
      </c>
      <c r="C447">
        <v>1.1029379034052971</v>
      </c>
      <c r="D447">
        <v>0.95130344108446296</v>
      </c>
      <c r="E447">
        <v>0.90046838407494145</v>
      </c>
      <c r="F447">
        <v>0.99216070553650171</v>
      </c>
      <c r="G447">
        <v>1.0442453854505971</v>
      </c>
      <c r="H447">
        <v>0.96331151118385161</v>
      </c>
      <c r="I447">
        <v>1.0917947937281169</v>
      </c>
      <c r="J447">
        <v>1.0515786183182245</v>
      </c>
      <c r="K447">
        <v>0.98296342607064713</v>
      </c>
    </row>
    <row r="448" spans="1:11" x14ac:dyDescent="0.3">
      <c r="A448" s="1" t="str">
        <f>HYPERLINK("[.\tse_pressure_data\2597.xlsx]2597!$A268","﻿潤弘            ")</f>
        <v xml:space="preserve">﻿潤弘            </v>
      </c>
      <c r="B448">
        <v>1.4385964912280702</v>
      </c>
      <c r="C448">
        <v>1.1978798586572439</v>
      </c>
      <c r="D448">
        <v>1.3762376237623761</v>
      </c>
      <c r="E448">
        <v>1.2402597402597402</v>
      </c>
      <c r="F448">
        <v>1.1142857142857143</v>
      </c>
      <c r="G448">
        <v>1.0613496932515338</v>
      </c>
      <c r="H448">
        <v>1.0330330330330331</v>
      </c>
      <c r="I448">
        <v>1.1234177215189873</v>
      </c>
      <c r="J448">
        <v>1.1258064516129032</v>
      </c>
      <c r="K448">
        <v>1.0390879478827362</v>
      </c>
    </row>
    <row r="449" spans="1:11" x14ac:dyDescent="0.3">
      <c r="A449" s="1" t="str">
        <f>HYPERLINK("[.\tse_pressure_data\2601.xlsx]2601!$A268","﻿益航            ")</f>
        <v xml:space="preserve">﻿益航            </v>
      </c>
      <c r="B449">
        <v>1.5395935811628094</v>
      </c>
      <c r="C449">
        <v>1.4780003967466773</v>
      </c>
      <c r="D449">
        <v>1.4550732543640899</v>
      </c>
      <c r="E449">
        <v>1.4984827264239029</v>
      </c>
      <c r="F449">
        <v>1.4911423096476477</v>
      </c>
      <c r="G449">
        <v>1.3673641703377386</v>
      </c>
      <c r="H449">
        <v>1.4519799219185723</v>
      </c>
      <c r="I449">
        <v>1.5259528825895423</v>
      </c>
      <c r="J449">
        <v>1.2517719242568497</v>
      </c>
      <c r="K449">
        <v>1.2687724740886976</v>
      </c>
    </row>
    <row r="450" spans="1:11" x14ac:dyDescent="0.3">
      <c r="A450" s="1" t="str">
        <f>HYPERLINK("[.\tse_pressure_data\2603.xlsx]2603!$A268","﻿長榮            ")</f>
        <v xml:space="preserve">﻿長榮            </v>
      </c>
      <c r="B450">
        <v>0.87577600405422529</v>
      </c>
      <c r="C450">
        <v>1.092500543923951</v>
      </c>
      <c r="D450">
        <v>0.79924338048080323</v>
      </c>
      <c r="E450">
        <v>0.8339119209717355</v>
      </c>
      <c r="F450">
        <v>0.84630744367961663</v>
      </c>
      <c r="G450">
        <v>0.81076392006982934</v>
      </c>
      <c r="H450">
        <v>0.84935551866291104</v>
      </c>
      <c r="I450">
        <v>0.79969298335167882</v>
      </c>
      <c r="J450">
        <v>0.72852081893873721</v>
      </c>
      <c r="K450">
        <v>0.72032709176236231</v>
      </c>
    </row>
    <row r="451" spans="1:11" x14ac:dyDescent="0.3">
      <c r="A451" s="1" t="str">
        <f>HYPERLINK("[.\tse_pressure_data\2605.xlsx]2605!$A268","﻿新興            ")</f>
        <v xml:space="preserve">﻿新興            </v>
      </c>
      <c r="B451">
        <v>1.7259544787077827</v>
      </c>
      <c r="C451">
        <v>1.8415633937082936</v>
      </c>
      <c r="D451">
        <v>1.7267142469961152</v>
      </c>
      <c r="E451">
        <v>1.6418080083930757</v>
      </c>
      <c r="F451">
        <v>1.5547065244772862</v>
      </c>
      <c r="G451">
        <v>1.5552526199199115</v>
      </c>
      <c r="H451">
        <v>1.716946842344389</v>
      </c>
      <c r="I451">
        <v>1.6469502629879118</v>
      </c>
      <c r="J451">
        <v>1.5815636158616801</v>
      </c>
      <c r="K451">
        <v>1.5590145148968679</v>
      </c>
    </row>
    <row r="452" spans="1:11" x14ac:dyDescent="0.3">
      <c r="A452" s="1" t="str">
        <f>HYPERLINK("[.\tse_pressure_data\2606.xlsx]2606!$A268","﻿裕民            ")</f>
        <v xml:space="preserve">﻿裕民            </v>
      </c>
      <c r="B452">
        <v>0.86148471615720523</v>
      </c>
      <c r="C452">
        <v>0.92246644479391438</v>
      </c>
      <c r="D452">
        <v>0.87956306274865637</v>
      </c>
      <c r="E452">
        <v>0.84834284161912521</v>
      </c>
      <c r="F452">
        <v>0.84181854865828232</v>
      </c>
      <c r="G452">
        <v>0.77935122674131396</v>
      </c>
      <c r="H452">
        <v>0.85360383321439492</v>
      </c>
      <c r="I452">
        <v>0.91308268590455055</v>
      </c>
      <c r="J452">
        <v>0.81585390736584373</v>
      </c>
      <c r="K452">
        <v>0.85341524867980534</v>
      </c>
    </row>
    <row r="453" spans="1:11" x14ac:dyDescent="0.3">
      <c r="A453" s="1" t="str">
        <f>HYPERLINK("[.\tse_pressure_data\2607.xlsx]2607!$A268","﻿榮運            ")</f>
        <v xml:space="preserve">﻿榮運            </v>
      </c>
      <c r="B453">
        <v>1.4226579520697167</v>
      </c>
      <c r="C453">
        <v>1.6019417475728155</v>
      </c>
      <c r="D453">
        <v>1.2775934208627904</v>
      </c>
      <c r="E453">
        <v>1.2288522774470441</v>
      </c>
      <c r="F453">
        <v>1.1510810106798646</v>
      </c>
      <c r="G453">
        <v>1.1480382034073309</v>
      </c>
      <c r="H453">
        <v>1.2169948460420246</v>
      </c>
      <c r="I453">
        <v>1.2585734776372408</v>
      </c>
      <c r="J453">
        <v>1.0732309072558035</v>
      </c>
      <c r="K453">
        <v>1.0709387296233839</v>
      </c>
    </row>
    <row r="454" spans="1:11" x14ac:dyDescent="0.3">
      <c r="A454" s="1" t="str">
        <f>HYPERLINK("[.\tse_pressure_data\2608.xlsx]2608!$A268","﻿大榮            ")</f>
        <v xml:space="preserve">﻿大榮            </v>
      </c>
      <c r="B454">
        <v>0.95577254451464677</v>
      </c>
      <c r="C454">
        <v>0.93340857787810383</v>
      </c>
      <c r="D454">
        <v>0.88580750407830344</v>
      </c>
      <c r="E454">
        <v>0.79716981132075471</v>
      </c>
      <c r="F454">
        <v>0.76764386536373508</v>
      </c>
      <c r="G454">
        <v>0.73730684326710816</v>
      </c>
      <c r="H454">
        <v>0.75545350172215842</v>
      </c>
      <c r="I454">
        <v>0.73803967327887976</v>
      </c>
      <c r="J454">
        <v>0.71138938580799049</v>
      </c>
      <c r="K454">
        <v>0.64671013633669239</v>
      </c>
    </row>
    <row r="455" spans="1:11" x14ac:dyDescent="0.3">
      <c r="A455" s="1" t="str">
        <f>HYPERLINK("[.\tse_pressure_data\2609.xlsx]2609!$A268","﻿陽明            ")</f>
        <v xml:space="preserve">﻿陽明            </v>
      </c>
      <c r="B455">
        <v>1.4520937494191775</v>
      </c>
      <c r="C455">
        <v>1.5739141918549944</v>
      </c>
      <c r="D455">
        <v>0.94813248898575397</v>
      </c>
      <c r="E455">
        <v>0.93398083494280193</v>
      </c>
      <c r="F455">
        <v>0.86883099442691192</v>
      </c>
      <c r="G455">
        <v>0.81871243356018086</v>
      </c>
      <c r="H455">
        <v>0.86855862584017929</v>
      </c>
      <c r="I455">
        <v>0.8628115530800623</v>
      </c>
      <c r="J455">
        <v>0.82420653052616777</v>
      </c>
      <c r="K455">
        <v>0.80352375867592096</v>
      </c>
    </row>
    <row r="456" spans="1:11" x14ac:dyDescent="0.3">
      <c r="A456" s="1" t="str">
        <f>HYPERLINK("[.\tse_pressure_data\2610.xlsx]2610!$A268","﻿華航            ")</f>
        <v xml:space="preserve">﻿華航            </v>
      </c>
      <c r="B456">
        <v>0.92155431781723551</v>
      </c>
      <c r="C456">
        <v>0.86258741026543506</v>
      </c>
      <c r="D456">
        <v>0.82957416537886031</v>
      </c>
      <c r="E456">
        <v>0.79551436785094798</v>
      </c>
      <c r="F456">
        <v>0.75011920950850364</v>
      </c>
      <c r="G456">
        <v>0.72413587746254082</v>
      </c>
      <c r="H456">
        <v>0.78754426669923072</v>
      </c>
      <c r="I456">
        <v>0.85429963367196649</v>
      </c>
      <c r="J456">
        <v>0.79253410359420029</v>
      </c>
      <c r="K456">
        <v>0.78309968106624062</v>
      </c>
    </row>
    <row r="457" spans="1:11" x14ac:dyDescent="0.3">
      <c r="A457" s="1" t="str">
        <f>HYPERLINK("[.\tse_pressure_data\2611.xlsx]2611!$A268","﻿志信            ")</f>
        <v xml:space="preserve">﻿志信            </v>
      </c>
      <c r="B457">
        <v>1.0231124807395995</v>
      </c>
      <c r="C457">
        <v>1.1013119533527698</v>
      </c>
      <c r="D457">
        <v>1.0229574611748817</v>
      </c>
      <c r="E457">
        <v>0.99112238427393784</v>
      </c>
      <c r="F457">
        <v>0.87930062041737167</v>
      </c>
      <c r="G457">
        <v>0.86280814576634512</v>
      </c>
      <c r="H457">
        <v>0.88345864661654139</v>
      </c>
      <c r="I457">
        <v>0.87036040882194732</v>
      </c>
      <c r="J457">
        <v>0.82029141932002159</v>
      </c>
      <c r="K457">
        <v>0.81940549635445881</v>
      </c>
    </row>
    <row r="458" spans="1:11" x14ac:dyDescent="0.3">
      <c r="A458" s="1" t="str">
        <f>HYPERLINK("[.\tse_pressure_data\2612.xlsx]2612!$A268","﻿中航            ")</f>
        <v xml:space="preserve">﻿中航            </v>
      </c>
      <c r="B458">
        <v>0.81368706662646972</v>
      </c>
      <c r="C458">
        <v>0.9266727772685609</v>
      </c>
      <c r="D458">
        <v>0.87133504127526329</v>
      </c>
      <c r="E458">
        <v>0.84606709895686494</v>
      </c>
      <c r="F458">
        <v>0.79251979251979254</v>
      </c>
      <c r="G458">
        <v>0.7996589940323956</v>
      </c>
      <c r="H458">
        <v>0.83343040186371575</v>
      </c>
      <c r="I458">
        <v>0.89005884174667083</v>
      </c>
      <c r="J458">
        <v>0.92820512820512824</v>
      </c>
      <c r="K458">
        <v>0.91830896376350923</v>
      </c>
    </row>
    <row r="459" spans="1:11" x14ac:dyDescent="0.3">
      <c r="A459" s="1" t="str">
        <f>HYPERLINK("[.\tse_pressure_data\2613.xlsx]2613!$A268","﻿中櫃            ")</f>
        <v xml:space="preserve">﻿中櫃            </v>
      </c>
      <c r="B459">
        <v>1.151685393258427</v>
      </c>
      <c r="C459">
        <v>1.2876935615321923</v>
      </c>
      <c r="D459">
        <v>1.2238267148014441</v>
      </c>
      <c r="E459">
        <v>1.0705128205128205</v>
      </c>
      <c r="F459">
        <v>1.0840998685939554</v>
      </c>
      <c r="G459">
        <v>1.0300375469336671</v>
      </c>
      <c r="H459">
        <v>1.0384376937383757</v>
      </c>
      <c r="I459">
        <v>1.0348321722609246</v>
      </c>
      <c r="J459">
        <v>1.0448253131179961</v>
      </c>
      <c r="K459">
        <v>0.97722960151802651</v>
      </c>
    </row>
    <row r="460" spans="1:11" x14ac:dyDescent="0.3">
      <c r="A460" s="1" t="str">
        <f>HYPERLINK("[.\tse_pressure_data\2614.xlsx]2614!$A268","﻿東森            ")</f>
        <v xml:space="preserve">﻿東森            </v>
      </c>
      <c r="B460">
        <v>0.87178322437935729</v>
      </c>
      <c r="C460">
        <v>0.90632747019242121</v>
      </c>
      <c r="D460">
        <v>0.85345221764974855</v>
      </c>
      <c r="E460">
        <v>0.77370573258236253</v>
      </c>
      <c r="F460">
        <v>0.72960692390912374</v>
      </c>
      <c r="G460">
        <v>0.67231800374025685</v>
      </c>
      <c r="H460">
        <v>0.6814477948334956</v>
      </c>
      <c r="I460">
        <v>0.6762527576426095</v>
      </c>
      <c r="J460">
        <v>0.66633862142266664</v>
      </c>
      <c r="K460">
        <v>0.68003297258489115</v>
      </c>
    </row>
    <row r="461" spans="1:11" x14ac:dyDescent="0.3">
      <c r="A461" s="1" t="str">
        <f>HYPERLINK("[.\tse_pressure_data\2615.xlsx]2615!$A268","﻿萬海            ")</f>
        <v xml:space="preserve">﻿萬海            </v>
      </c>
      <c r="B461">
        <v>1.3990468381674694</v>
      </c>
      <c r="C461">
        <v>1.5080361999901093</v>
      </c>
      <c r="D461">
        <v>1.2536147388059702</v>
      </c>
      <c r="E461">
        <v>1.2466573383084578</v>
      </c>
      <c r="F461">
        <v>1.1812122637810711</v>
      </c>
      <c r="G461">
        <v>1.1411693426234475</v>
      </c>
      <c r="H461">
        <v>1.2595208966415408</v>
      </c>
      <c r="I461">
        <v>1.2390594119307869</v>
      </c>
      <c r="J461">
        <v>1.2067539627842867</v>
      </c>
      <c r="K461">
        <v>1.2164615694976801</v>
      </c>
    </row>
    <row r="462" spans="1:11" x14ac:dyDescent="0.3">
      <c r="A462" s="1" t="str">
        <f>HYPERLINK("[.\tse_pressure_data\2616.xlsx]2616!$A268","﻿山隆            ")</f>
        <v xml:space="preserve">﻿山隆            </v>
      </c>
      <c r="B462">
        <v>1.310880829015544</v>
      </c>
      <c r="C462">
        <v>1.2833562585969738</v>
      </c>
      <c r="D462">
        <v>1.0863543788187373</v>
      </c>
      <c r="E462">
        <v>1.0040338846308996</v>
      </c>
      <c r="F462">
        <v>0.99132149901380673</v>
      </c>
      <c r="G462">
        <v>0.99437976716178245</v>
      </c>
      <c r="H462">
        <v>0.99384489125974562</v>
      </c>
      <c r="I462">
        <v>0.99371859296482412</v>
      </c>
      <c r="J462">
        <v>0.80574948665297741</v>
      </c>
      <c r="K462">
        <v>0.76090468497576735</v>
      </c>
    </row>
    <row r="463" spans="1:11" x14ac:dyDescent="0.3">
      <c r="A463" s="1" t="str">
        <f>HYPERLINK("[.\tse_pressure_data\2617.xlsx]2617!$A268","﻿台航            ")</f>
        <v xml:space="preserve">﻿台航            </v>
      </c>
      <c r="B463">
        <v>1.1964384064622728</v>
      </c>
      <c r="C463">
        <v>1.3652392947103276</v>
      </c>
      <c r="D463">
        <v>1.1676136363636365</v>
      </c>
      <c r="E463">
        <v>1.0606419168762018</v>
      </c>
      <c r="F463">
        <v>1.1271590232281119</v>
      </c>
      <c r="G463">
        <v>1.1179189028026237</v>
      </c>
      <c r="H463">
        <v>1.1909818405663282</v>
      </c>
      <c r="I463">
        <v>1.3428863868986693</v>
      </c>
      <c r="J463">
        <v>1.4774531597332488</v>
      </c>
      <c r="K463">
        <v>1.5871835443037974</v>
      </c>
    </row>
    <row r="464" spans="1:11" x14ac:dyDescent="0.3">
      <c r="A464" s="1" t="str">
        <f>HYPERLINK("[.\tse_pressure_data\2618.xlsx]2618!$A268","﻿長榮航          ")</f>
        <v xml:space="preserve">﻿長榮航          </v>
      </c>
      <c r="B464">
        <v>1.3341554578046735</v>
      </c>
      <c r="C464">
        <v>1.2902607175802301</v>
      </c>
      <c r="D464">
        <v>1.2121192953603845</v>
      </c>
      <c r="E464">
        <v>1.2223103640495692</v>
      </c>
      <c r="F464">
        <v>1.0576151862492278</v>
      </c>
      <c r="G464">
        <v>1.0106158762225741</v>
      </c>
      <c r="H464">
        <v>1.0575721273834482</v>
      </c>
      <c r="I464">
        <v>1.0987211960214986</v>
      </c>
      <c r="J464">
        <v>1.0414824237284714</v>
      </c>
      <c r="K464">
        <v>0.92414772991094229</v>
      </c>
    </row>
    <row r="465" spans="1:11" x14ac:dyDescent="0.3">
      <c r="A465" s="1" t="str">
        <f>HYPERLINK("[.\tse_pressure_data\2634.xlsx]2634!$A268","﻿漢翔            ")</f>
        <v xml:space="preserve">﻿漢翔            </v>
      </c>
      <c r="B465">
        <v>1.7454743927954153</v>
      </c>
      <c r="C465">
        <v>1.8559462444771724</v>
      </c>
      <c r="D465">
        <v>1.5962456509426328</v>
      </c>
      <c r="E465">
        <v>1.4674556213017751</v>
      </c>
      <c r="F465">
        <v>1.3763042284459088</v>
      </c>
      <c r="G465">
        <v>1.3066797002280872</v>
      </c>
      <c r="H465">
        <v>1.5036759700476514</v>
      </c>
      <c r="I465">
        <v>1.569365546506057</v>
      </c>
      <c r="J465">
        <v>1.5736916931825875</v>
      </c>
      <c r="K465">
        <v>1.4577120992215331</v>
      </c>
    </row>
    <row r="466" spans="1:11" x14ac:dyDescent="0.3">
      <c r="A466" s="1" t="str">
        <f>HYPERLINK("[.\tse_pressure_data\2637.xlsx]2637!$A268","﻿F-慧洋          ")</f>
        <v xml:space="preserve">﻿F-慧洋          </v>
      </c>
      <c r="B466">
        <v>1.0404264156167797</v>
      </c>
      <c r="C466">
        <v>1.0043975373790677</v>
      </c>
      <c r="D466">
        <v>0.96029358681265797</v>
      </c>
      <c r="E466">
        <v>0.98037050668629611</v>
      </c>
      <c r="F466">
        <v>0.96062896148220378</v>
      </c>
      <c r="G466">
        <v>0.93605155533523365</v>
      </c>
      <c r="H466">
        <v>0.99649487212774246</v>
      </c>
      <c r="I466">
        <v>1.0422872340425533</v>
      </c>
      <c r="J466">
        <v>1.0495390119719279</v>
      </c>
      <c r="K466">
        <v>1.0421636615811374</v>
      </c>
    </row>
    <row r="467" spans="1:11" x14ac:dyDescent="0.3">
      <c r="A467" s="1" t="str">
        <f>HYPERLINK("[.\tse_pressure_data\2642.xlsx]2642!$A268","﻿宅配通          ")</f>
        <v xml:space="preserve">﻿宅配通          </v>
      </c>
      <c r="B467">
        <v>0.76408668730650153</v>
      </c>
      <c r="C467">
        <v>1.0342019543973942</v>
      </c>
      <c r="D467">
        <v>0.84777517564402816</v>
      </c>
      <c r="E467">
        <v>1.1863285556780596</v>
      </c>
      <c r="F467">
        <v>1.1603563474387528</v>
      </c>
      <c r="G467">
        <v>1.1049783549783549</v>
      </c>
      <c r="H467">
        <v>1.1363152289669862</v>
      </c>
      <c r="I467">
        <v>1.2408602150537635</v>
      </c>
      <c r="J467">
        <v>1.3476347634763477</v>
      </c>
      <c r="K467">
        <v>1.3573806881243062</v>
      </c>
    </row>
    <row r="468" spans="1:11" x14ac:dyDescent="0.3">
      <c r="A468" s="1" t="str">
        <f>HYPERLINK("[.\tse_pressure_data\2701.xlsx]2701!$A268","﻿萬企            ")</f>
        <v xml:space="preserve">﻿萬企            </v>
      </c>
      <c r="B468">
        <v>1.1810888252148997</v>
      </c>
      <c r="C468">
        <v>1.1986062717770034</v>
      </c>
      <c r="D468">
        <v>1.1462857142857144</v>
      </c>
      <c r="E468">
        <v>1.160621761658031</v>
      </c>
      <c r="F468">
        <v>1.1117445838084379</v>
      </c>
      <c r="G468">
        <v>1.1326823664560597</v>
      </c>
      <c r="H468">
        <v>1.006827731092437</v>
      </c>
      <c r="I468">
        <v>0.94083465398837829</v>
      </c>
      <c r="J468">
        <v>0.95595854922279788</v>
      </c>
      <c r="K468">
        <v>0.92611595690097481</v>
      </c>
    </row>
    <row r="469" spans="1:11" x14ac:dyDescent="0.3">
      <c r="A469" s="1" t="str">
        <f>HYPERLINK("[.\tse_pressure_data\2702.xlsx]2702!$A268","﻿華園            ")</f>
        <v xml:space="preserve">﻿華園            </v>
      </c>
      <c r="B469">
        <v>1.0825</v>
      </c>
      <c r="C469">
        <v>0.92734225621414912</v>
      </c>
      <c r="D469">
        <v>0.91651205936920221</v>
      </c>
      <c r="E469">
        <v>0.95361781076066787</v>
      </c>
      <c r="F469">
        <v>1.0630797773654916</v>
      </c>
      <c r="G469">
        <v>0.93830703012912486</v>
      </c>
      <c r="H469">
        <v>0.90214477211796251</v>
      </c>
      <c r="I469">
        <v>0.92101551480959098</v>
      </c>
      <c r="J469">
        <v>0.94925373134328361</v>
      </c>
      <c r="K469">
        <v>0.92653673163418293</v>
      </c>
    </row>
    <row r="470" spans="1:11" x14ac:dyDescent="0.3">
      <c r="A470" s="1" t="str">
        <f>HYPERLINK("[.\tse_pressure_data\2704.xlsx]2704!$A268","﻿國賓            ")</f>
        <v xml:space="preserve">﻿國賓            </v>
      </c>
      <c r="B470">
        <v>1.1220125786163522</v>
      </c>
      <c r="C470">
        <v>1.0950173812282735</v>
      </c>
      <c r="D470">
        <v>1.0940766550522647</v>
      </c>
      <c r="E470">
        <v>1.0402173913043478</v>
      </c>
      <c r="F470">
        <v>1.0365853658536586</v>
      </c>
      <c r="G470">
        <v>1.0011273957158964</v>
      </c>
      <c r="H470">
        <v>1.0773739742086752</v>
      </c>
      <c r="I470">
        <v>1.0871613663133097</v>
      </c>
      <c r="J470">
        <v>1.0960099750623442</v>
      </c>
      <c r="K470">
        <v>1.0385514018691588</v>
      </c>
    </row>
    <row r="471" spans="1:11" x14ac:dyDescent="0.3">
      <c r="A471" s="1" t="str">
        <f>HYPERLINK("[.\tse_pressure_data\2705.xlsx]2705!$A268","﻿六福            ")</f>
        <v xml:space="preserve">﻿六福            </v>
      </c>
      <c r="B471">
        <v>1.1913978494623656</v>
      </c>
      <c r="C471">
        <v>1.2555506216696271</v>
      </c>
      <c r="D471">
        <v>1.110907237512742</v>
      </c>
      <c r="E471">
        <v>1.0992779783393503</v>
      </c>
      <c r="F471">
        <v>1.1255587159691183</v>
      </c>
      <c r="G471">
        <v>1.0584807073954985</v>
      </c>
      <c r="H471">
        <v>1.0492829731367401</v>
      </c>
      <c r="I471">
        <v>1.0323293172690764</v>
      </c>
      <c r="J471">
        <v>0.89768104149715211</v>
      </c>
      <c r="K471">
        <v>0.91284503368832859</v>
      </c>
    </row>
    <row r="472" spans="1:11" x14ac:dyDescent="0.3">
      <c r="A472" s="1" t="str">
        <f>HYPERLINK("[.\tse_pressure_data\2706.xlsx]2706!$A268","﻿第一店          ")</f>
        <v xml:space="preserve">﻿第一店          </v>
      </c>
      <c r="B472">
        <v>0.7946870778928411</v>
      </c>
      <c r="C472">
        <v>0.74582083154736389</v>
      </c>
      <c r="D472">
        <v>0.7215241183623835</v>
      </c>
      <c r="E472">
        <v>0.69324654190398693</v>
      </c>
      <c r="F472">
        <v>0.66962127316680098</v>
      </c>
      <c r="G472">
        <v>0.69754416199913827</v>
      </c>
      <c r="H472">
        <v>0.69077522737115638</v>
      </c>
      <c r="I472">
        <v>0.6616740088105727</v>
      </c>
      <c r="J472">
        <v>0.65763924374041904</v>
      </c>
      <c r="K472">
        <v>0.65753424657534243</v>
      </c>
    </row>
    <row r="473" spans="1:11" x14ac:dyDescent="0.3">
      <c r="A473" s="1" t="str">
        <f>HYPERLINK("[.\tse_pressure_data\2707.xlsx]2707!$A268","﻿晶華            ")</f>
        <v xml:space="preserve">﻿晶華            </v>
      </c>
      <c r="B473">
        <v>1.1419491525423728</v>
      </c>
      <c r="C473">
        <v>1.1215932914046121</v>
      </c>
      <c r="D473">
        <v>1.0616649537512848</v>
      </c>
      <c r="E473">
        <v>1.0558428128231645</v>
      </c>
      <c r="F473">
        <v>0.98018769551616269</v>
      </c>
      <c r="G473">
        <v>1.1401648998822145</v>
      </c>
      <c r="H473">
        <v>1.1031746031746033</v>
      </c>
      <c r="I473">
        <v>1.1039426523297491</v>
      </c>
      <c r="J473">
        <v>1.2911877394636015</v>
      </c>
      <c r="K473">
        <v>1.351531291611185</v>
      </c>
    </row>
    <row r="474" spans="1:11" x14ac:dyDescent="0.3">
      <c r="A474" s="1" t="str">
        <f>HYPERLINK("[.\tse_pressure_data\2712.xlsx]2712!$A268","﻿遠雄來          ")</f>
        <v xml:space="preserve">﻿遠雄來          </v>
      </c>
      <c r="B474">
        <v>0.41891891891891891</v>
      </c>
      <c r="C474">
        <v>0.36868686868686867</v>
      </c>
      <c r="D474">
        <v>0.34112149532710279</v>
      </c>
      <c r="E474">
        <v>0.3783783783783784</v>
      </c>
      <c r="F474">
        <v>0.36725663716814161</v>
      </c>
      <c r="G474">
        <v>0.3705357142857143</v>
      </c>
      <c r="H474">
        <v>0.3584070796460177</v>
      </c>
      <c r="I474">
        <v>0.36888888888888888</v>
      </c>
      <c r="J474">
        <v>0.4017857142857143</v>
      </c>
      <c r="K474">
        <v>0.35555555555555557</v>
      </c>
    </row>
    <row r="475" spans="1:11" x14ac:dyDescent="0.3">
      <c r="A475" s="1" t="str">
        <f>HYPERLINK("[.\tse_pressure_data\2722.xlsx]2722!$A268","﻿夏都            ")</f>
        <v xml:space="preserve">﻿夏都            </v>
      </c>
      <c r="B475">
        <v>0.36363636363636365</v>
      </c>
      <c r="C475">
        <v>0.34551495016611294</v>
      </c>
      <c r="D475">
        <v>0.35666666666666669</v>
      </c>
      <c r="E475">
        <v>0.34666666666666668</v>
      </c>
      <c r="F475">
        <v>0.34448160535117056</v>
      </c>
      <c r="G475">
        <v>0.35254237288135593</v>
      </c>
      <c r="H475">
        <v>0.36241610738255031</v>
      </c>
      <c r="I475">
        <v>0.35785953177257523</v>
      </c>
      <c r="J475">
        <v>0.34653465346534651</v>
      </c>
      <c r="K475">
        <v>0.31699346405228757</v>
      </c>
    </row>
    <row r="476" spans="1:11" x14ac:dyDescent="0.3">
      <c r="A476" s="1" t="str">
        <f>HYPERLINK("[.\tse_pressure_data\2723.xlsx]2723!$A268","﻿F-美食          ")</f>
        <v xml:space="preserve">﻿F-美食          </v>
      </c>
      <c r="B476">
        <v>0.99939649969824984</v>
      </c>
      <c r="C476">
        <v>1.171068796068796</v>
      </c>
      <c r="D476">
        <v>1.2194513715710724</v>
      </c>
      <c r="E476">
        <v>1.2401706796708321</v>
      </c>
      <c r="F476">
        <v>1.1372891215823153</v>
      </c>
      <c r="G476">
        <v>1.0898780833569606</v>
      </c>
      <c r="H476">
        <v>1.0343222803955787</v>
      </c>
      <c r="I476">
        <v>1.2596255740021194</v>
      </c>
      <c r="J476">
        <v>1.1896024464831805</v>
      </c>
      <c r="K476">
        <v>1.2032890132960112</v>
      </c>
    </row>
    <row r="477" spans="1:11" x14ac:dyDescent="0.3">
      <c r="A477" s="1" t="str">
        <f>HYPERLINK("[.\tse_pressure_data\2727.xlsx]2727!$A268","﻿王品            ")</f>
        <v xml:space="preserve">﻿王品            </v>
      </c>
      <c r="B477">
        <v>1.1816811157180551</v>
      </c>
      <c r="C477">
        <v>1.1700148809523809</v>
      </c>
      <c r="D477">
        <v>1.099963113242346</v>
      </c>
      <c r="E477">
        <v>1.0893728877206159</v>
      </c>
      <c r="F477">
        <v>1.0241905470785262</v>
      </c>
      <c r="G477">
        <v>1.0022564874012787</v>
      </c>
      <c r="H477">
        <v>1.1151893791487699</v>
      </c>
      <c r="I477">
        <v>1.085725521038144</v>
      </c>
      <c r="J477">
        <v>1.120937885643768</v>
      </c>
      <c r="K477">
        <v>1.0470903522205206</v>
      </c>
    </row>
    <row r="478" spans="1:11" x14ac:dyDescent="0.3">
      <c r="A478" s="1" t="str">
        <f>HYPERLINK("[.\tse_pressure_data\2731.xlsx]2731!$A268","﻿雄獅            ")</f>
        <v xml:space="preserve">﻿雄獅            </v>
      </c>
      <c r="B478">
        <v>0.71300688088716679</v>
      </c>
      <c r="C478">
        <v>0.73130988180991674</v>
      </c>
      <c r="D478">
        <v>0.72772207315350934</v>
      </c>
      <c r="E478">
        <v>0.70474455112481604</v>
      </c>
      <c r="F478">
        <v>0.7020567375886525</v>
      </c>
      <c r="G478">
        <v>0.6292110410780265</v>
      </c>
      <c r="H478">
        <v>0.64957588609512273</v>
      </c>
      <c r="I478">
        <v>0.65055703750196137</v>
      </c>
      <c r="J478">
        <v>0.57011010362694303</v>
      </c>
      <c r="K478">
        <v>0.59446461870644818</v>
      </c>
    </row>
    <row r="479" spans="1:11" x14ac:dyDescent="0.3">
      <c r="A479" s="1" t="str">
        <f>HYPERLINK("[.\tse_pressure_data\2739.xlsx]2739!$A268","﻿寒舍            ")</f>
        <v xml:space="preserve">﻿寒舍            </v>
      </c>
      <c r="B479">
        <v>0.72881355932203384</v>
      </c>
      <c r="C479">
        <v>0.6855064353665361</v>
      </c>
      <c r="D479">
        <v>0.70228571428571429</v>
      </c>
      <c r="E479">
        <v>0.73371757925072045</v>
      </c>
      <c r="F479">
        <v>0.72604284103720407</v>
      </c>
      <c r="G479">
        <v>0.73847019122609669</v>
      </c>
      <c r="H479">
        <v>0.69546436285097191</v>
      </c>
      <c r="I479">
        <v>0.72717086834733891</v>
      </c>
      <c r="J479">
        <v>0.69911041339612767</v>
      </c>
      <c r="K479">
        <v>0.59057071960297769</v>
      </c>
    </row>
    <row r="480" spans="1:11" x14ac:dyDescent="0.3">
      <c r="A480" s="1" t="str">
        <f>HYPERLINK("[.\tse_pressure_data\2801.xlsx]2801!$A268","﻿彰銀            ")</f>
        <v xml:space="preserve">﻿彰銀            </v>
      </c>
      <c r="B480">
        <v>0.61694922007291275</v>
      </c>
      <c r="C480">
        <v>0.61342020445692369</v>
      </c>
      <c r="D480">
        <v>0.5075977631552947</v>
      </c>
      <c r="E480">
        <v>0.51253056832632304</v>
      </c>
      <c r="F480">
        <v>0.48776971361318167</v>
      </c>
      <c r="G480">
        <v>0.53949709277097979</v>
      </c>
      <c r="H480">
        <v>0.50129417060544679</v>
      </c>
      <c r="I480">
        <v>0.52349761981459608</v>
      </c>
      <c r="J480">
        <v>0.46267271234246138</v>
      </c>
      <c r="K480">
        <v>0.48199776278103529</v>
      </c>
    </row>
    <row r="481" spans="1:11" x14ac:dyDescent="0.3">
      <c r="A481" s="1" t="str">
        <f>HYPERLINK("[.\tse_pressure_data\2809.xlsx]2809!$A268","﻿京城銀          ")</f>
        <v xml:space="preserve">﻿京城銀          </v>
      </c>
      <c r="B481">
        <v>0.70772179115639899</v>
      </c>
      <c r="C481">
        <v>0.68323726077934055</v>
      </c>
      <c r="D481">
        <v>0.67483471265430672</v>
      </c>
      <c r="E481">
        <v>0.64880787995949551</v>
      </c>
      <c r="F481">
        <v>0.62657699443413728</v>
      </c>
      <c r="G481">
        <v>0.59263792556326211</v>
      </c>
      <c r="H481">
        <v>0.58425522148267162</v>
      </c>
      <c r="I481">
        <v>0.57223080162852735</v>
      </c>
      <c r="J481">
        <v>0.54616072689609718</v>
      </c>
      <c r="K481">
        <v>0.62253673399184239</v>
      </c>
    </row>
    <row r="482" spans="1:11" x14ac:dyDescent="0.3">
      <c r="A482" s="1" t="str">
        <f>HYPERLINK("[.\tse_pressure_data\2812.xlsx]2812!$A268","﻿台中銀          ")</f>
        <v xml:space="preserve">﻿台中銀          </v>
      </c>
      <c r="B482">
        <v>0.8515169089129726</v>
      </c>
      <c r="C482">
        <v>0.79346370683579981</v>
      </c>
      <c r="D482">
        <v>0.74075689634114428</v>
      </c>
      <c r="E482">
        <v>0.72558390101487558</v>
      </c>
      <c r="F482">
        <v>0.69271004160265148</v>
      </c>
      <c r="G482">
        <v>0.71039218090417056</v>
      </c>
      <c r="H482">
        <v>0.73052821670428891</v>
      </c>
      <c r="I482">
        <v>0.6948445723234935</v>
      </c>
      <c r="J482">
        <v>0.67657050620319448</v>
      </c>
      <c r="K482">
        <v>0.6961797663985454</v>
      </c>
    </row>
    <row r="483" spans="1:11" x14ac:dyDescent="0.3">
      <c r="A483" s="1" t="str">
        <f>HYPERLINK("[.\tse_pressure_data\2816.xlsx]2816!$A268","﻿旺旺保          ")</f>
        <v xml:space="preserve">﻿旺旺保          </v>
      </c>
      <c r="B483">
        <v>1.2028129395218004</v>
      </c>
      <c r="C483">
        <v>1.1292962356792144</v>
      </c>
      <c r="D483">
        <v>1.1284901057197072</v>
      </c>
      <c r="E483">
        <v>1.041313559322034</v>
      </c>
      <c r="F483">
        <v>1.0079386080973802</v>
      </c>
      <c r="G483">
        <v>0.96271535098997174</v>
      </c>
      <c r="H483">
        <v>1.0010198878123406</v>
      </c>
      <c r="I483">
        <v>0.95564618914096355</v>
      </c>
      <c r="J483">
        <v>0.9594975647269931</v>
      </c>
      <c r="K483">
        <v>0.8900717999504828</v>
      </c>
    </row>
    <row r="484" spans="1:11" x14ac:dyDescent="0.3">
      <c r="A484" s="1" t="str">
        <f>HYPERLINK("[.\tse_pressure_data\2820.xlsx]2820!$A268","﻿華票            ")</f>
        <v xml:space="preserve">﻿華票            </v>
      </c>
      <c r="B484">
        <v>0.92640795078088023</v>
      </c>
      <c r="C484">
        <v>0.90100532229450025</v>
      </c>
      <c r="D484">
        <v>0.86136287344746554</v>
      </c>
      <c r="E484">
        <v>0.86408512505484858</v>
      </c>
      <c r="F484">
        <v>0.80546259311238255</v>
      </c>
      <c r="G484">
        <v>0.8622954597833602</v>
      </c>
      <c r="H484">
        <v>0.748</v>
      </c>
      <c r="I484">
        <v>0.74997243964281779</v>
      </c>
      <c r="J484">
        <v>0.74656386188400936</v>
      </c>
      <c r="K484">
        <v>0.69480245087682235</v>
      </c>
    </row>
    <row r="485" spans="1:11" x14ac:dyDescent="0.3">
      <c r="A485" s="1" t="str">
        <f>HYPERLINK("[.\tse_pressure_data\2823.xlsx]2823!$A268","﻿中壽            ")</f>
        <v xml:space="preserve">﻿中壽            </v>
      </c>
      <c r="B485">
        <v>1.0029933194552159</v>
      </c>
      <c r="C485">
        <v>0.90816689536006501</v>
      </c>
      <c r="D485">
        <v>0.86615031627517847</v>
      </c>
      <c r="E485">
        <v>0.88829916798071873</v>
      </c>
      <c r="F485">
        <v>0.83413944963470199</v>
      </c>
      <c r="G485">
        <v>0.80089711678075093</v>
      </c>
      <c r="H485">
        <v>0.75337957779173603</v>
      </c>
      <c r="I485">
        <v>0.74557097720604826</v>
      </c>
      <c r="J485">
        <v>0.67241028700025762</v>
      </c>
      <c r="K485">
        <v>0.65868035748241105</v>
      </c>
    </row>
    <row r="486" spans="1:11" x14ac:dyDescent="0.3">
      <c r="A486" s="1" t="str">
        <f>HYPERLINK("[.\tse_pressure_data\2832.xlsx]2832!$A268","﻿台產            ")</f>
        <v xml:space="preserve">﻿台產            </v>
      </c>
      <c r="B486">
        <v>1.0545129579982127</v>
      </c>
      <c r="C486">
        <v>1.036660777385159</v>
      </c>
      <c r="D486">
        <v>1.0164859002169198</v>
      </c>
      <c r="E486">
        <v>0.97894284486463257</v>
      </c>
      <c r="F486">
        <v>0.94893059799214319</v>
      </c>
      <c r="G486">
        <v>0.94717832957110615</v>
      </c>
      <c r="H486">
        <v>0.96074766355140184</v>
      </c>
      <c r="I486">
        <v>0.90935390549662487</v>
      </c>
      <c r="J486">
        <v>0.9691289966923925</v>
      </c>
      <c r="K486">
        <v>0.89008620689655171</v>
      </c>
    </row>
    <row r="487" spans="1:11" x14ac:dyDescent="0.3">
      <c r="A487" s="1" t="str">
        <f>HYPERLINK("[.\tse_pressure_data\2834.xlsx]2834!$A268","﻿臺企銀          ")</f>
        <v xml:space="preserve">﻿臺企銀          </v>
      </c>
      <c r="B487">
        <v>0.77227797822988997</v>
      </c>
      <c r="C487">
        <v>0.76152615082550612</v>
      </c>
      <c r="D487">
        <v>0.66646696201932931</v>
      </c>
      <c r="E487">
        <v>0.65636613902271168</v>
      </c>
      <c r="F487">
        <v>0.61427855135744946</v>
      </c>
      <c r="G487">
        <v>0.6019469132250026</v>
      </c>
      <c r="H487">
        <v>0.56019551165331394</v>
      </c>
      <c r="I487">
        <v>0.50967576722286567</v>
      </c>
      <c r="J487">
        <v>0.52155413165310049</v>
      </c>
      <c r="K487">
        <v>0.56919326008096316</v>
      </c>
    </row>
    <row r="488" spans="1:11" x14ac:dyDescent="0.3">
      <c r="A488" s="1" t="str">
        <f>HYPERLINK("[.\tse_pressure_data\2836.xlsx]2836!$A268","﻿高雄銀          ")</f>
        <v xml:space="preserve">﻿高雄銀          </v>
      </c>
      <c r="B488">
        <v>0.61632987438558162</v>
      </c>
      <c r="C488">
        <v>0.59675425869203069</v>
      </c>
      <c r="D488">
        <v>0.5833470282114489</v>
      </c>
      <c r="E488">
        <v>0.57522075357867608</v>
      </c>
      <c r="F488">
        <v>0.57173913043478264</v>
      </c>
      <c r="G488">
        <v>0.56862745098039214</v>
      </c>
      <c r="H488">
        <v>0.56532738991627007</v>
      </c>
      <c r="I488">
        <v>0.54965732087227415</v>
      </c>
      <c r="J488">
        <v>0.5301378446115288</v>
      </c>
      <c r="K488">
        <v>0.52558465557892053</v>
      </c>
    </row>
    <row r="489" spans="1:11" x14ac:dyDescent="0.3">
      <c r="A489" s="1" t="str">
        <f>HYPERLINK("[.\tse_pressure_data\2838.xlsx]2838!$A268","﻿聯邦銀          ")</f>
        <v xml:space="preserve">﻿聯邦銀          </v>
      </c>
      <c r="B489">
        <v>0.62964151094714893</v>
      </c>
      <c r="C489">
        <v>0.60539815326335722</v>
      </c>
      <c r="D489">
        <v>0.57582016045754225</v>
      </c>
      <c r="E489">
        <v>0.56110085854128222</v>
      </c>
      <c r="F489">
        <v>0.54736050785165391</v>
      </c>
      <c r="G489">
        <v>0.55565179731485492</v>
      </c>
      <c r="H489">
        <v>0.60396219556524899</v>
      </c>
      <c r="I489">
        <v>0.54293498684704999</v>
      </c>
      <c r="J489">
        <v>0.50991391817390463</v>
      </c>
      <c r="K489">
        <v>0.47439460103215564</v>
      </c>
    </row>
    <row r="490" spans="1:11" x14ac:dyDescent="0.3">
      <c r="A490" s="1" t="str">
        <f>HYPERLINK("[.\tse_pressure_data\2841.xlsx]2841!$A268","﻿台開            ")</f>
        <v xml:space="preserve">﻿台開            </v>
      </c>
      <c r="B490">
        <v>1.0946123521681996</v>
      </c>
      <c r="C490">
        <v>1.1154048025193544</v>
      </c>
      <c r="D490">
        <v>0.93754627181385508</v>
      </c>
      <c r="E490">
        <v>0.85696580215744778</v>
      </c>
      <c r="F490">
        <v>0.55870720553701647</v>
      </c>
      <c r="G490">
        <v>0.56021555042340265</v>
      </c>
      <c r="H490">
        <v>0.56312134838334715</v>
      </c>
      <c r="I490">
        <v>0.54740328164985697</v>
      </c>
      <c r="J490">
        <v>0.53476111044918384</v>
      </c>
      <c r="K490">
        <v>0.52519570199720211</v>
      </c>
    </row>
    <row r="491" spans="1:11" x14ac:dyDescent="0.3">
      <c r="A491" s="1" t="str">
        <f>HYPERLINK("[.\tse_pressure_data\2845.xlsx]2845!$A268","﻿遠東銀          ")</f>
        <v xml:space="preserve">﻿遠東銀          </v>
      </c>
      <c r="B491">
        <v>0.74442653027186301</v>
      </c>
      <c r="C491">
        <v>0.67225240733767277</v>
      </c>
      <c r="D491">
        <v>0.63769671895048308</v>
      </c>
      <c r="E491">
        <v>0.61359178195333475</v>
      </c>
      <c r="F491">
        <v>0.59919516132918871</v>
      </c>
      <c r="G491">
        <v>0.59799019850502455</v>
      </c>
      <c r="H491">
        <v>0.58699592206615314</v>
      </c>
      <c r="I491">
        <v>0.49932530361337396</v>
      </c>
      <c r="J491">
        <v>0.53972610184229119</v>
      </c>
      <c r="K491">
        <v>0.56698105094171947</v>
      </c>
    </row>
    <row r="492" spans="1:11" x14ac:dyDescent="0.3">
      <c r="A492" s="1" t="str">
        <f>HYPERLINK("[.\tse_pressure_data\2849.xlsx]2849!$A268","﻿安泰銀          ")</f>
        <v xml:space="preserve">﻿安泰銀          </v>
      </c>
      <c r="B492">
        <v>0.85016835016835013</v>
      </c>
      <c r="C492">
        <v>0.85071267816954244</v>
      </c>
      <c r="D492">
        <v>0.96603773584905661</v>
      </c>
      <c r="E492">
        <v>1.0168128654970761</v>
      </c>
      <c r="F492">
        <v>1.0119887165021157</v>
      </c>
      <c r="G492">
        <v>1.0779610194902549</v>
      </c>
      <c r="H492">
        <v>1.0892307692307692</v>
      </c>
      <c r="I492">
        <v>1.0706910246227164</v>
      </c>
      <c r="J492">
        <v>0.97482837528604116</v>
      </c>
      <c r="K492">
        <v>1.0195412064570943</v>
      </c>
    </row>
    <row r="493" spans="1:11" x14ac:dyDescent="0.3">
      <c r="A493" s="1" t="str">
        <f>HYPERLINK("[.\tse_pressure_data\2850.xlsx]2850!$A268","﻿新產            ")</f>
        <v xml:space="preserve">﻿新產            </v>
      </c>
      <c r="B493">
        <v>0.74402823018458197</v>
      </c>
      <c r="C493">
        <v>0.72210242587601081</v>
      </c>
      <c r="D493">
        <v>0.71413418191461153</v>
      </c>
      <c r="E493">
        <v>0.74579710144927536</v>
      </c>
      <c r="F493">
        <v>0.75806451612903225</v>
      </c>
      <c r="G493">
        <v>0.76128472222222221</v>
      </c>
      <c r="H493">
        <v>0.71288343558282208</v>
      </c>
      <c r="I493">
        <v>0.80087368037859485</v>
      </c>
      <c r="J493">
        <v>0.90027700831024926</v>
      </c>
      <c r="K493">
        <v>0.78111209179170349</v>
      </c>
    </row>
    <row r="494" spans="1:11" x14ac:dyDescent="0.3">
      <c r="A494" s="1" t="str">
        <f>HYPERLINK("[.\tse_pressure_data\2851.xlsx]2851!$A268","﻿中再保          ")</f>
        <v xml:space="preserve">﻿中再保          </v>
      </c>
      <c r="B494">
        <v>1.081181793984562</v>
      </c>
      <c r="C494">
        <v>1.0607966457023061</v>
      </c>
      <c r="D494">
        <v>0.96267918932278795</v>
      </c>
      <c r="E494">
        <v>0.94075317822019666</v>
      </c>
      <c r="F494">
        <v>0.91897654584221744</v>
      </c>
      <c r="G494">
        <v>0.94621085345445854</v>
      </c>
      <c r="H494">
        <v>0.92425382493102581</v>
      </c>
      <c r="I494">
        <v>0.87737262737262733</v>
      </c>
      <c r="J494">
        <v>0.88481272447408932</v>
      </c>
      <c r="K494">
        <v>0.81327697662854304</v>
      </c>
    </row>
    <row r="495" spans="1:11" x14ac:dyDescent="0.3">
      <c r="A495" s="1" t="str">
        <f>HYPERLINK("[.\tse_pressure_data\2852.xlsx]2852!$A268","﻿第一保          ")</f>
        <v xml:space="preserve">﻿第一保          </v>
      </c>
      <c r="B495">
        <v>1.1126700680272108</v>
      </c>
      <c r="C495">
        <v>1.0824524312896406</v>
      </c>
      <c r="D495">
        <v>1.0822091062394603</v>
      </c>
      <c r="E495">
        <v>1.0816925010473397</v>
      </c>
      <c r="F495">
        <v>1.0813177648040033</v>
      </c>
      <c r="G495">
        <v>0.92256637168141598</v>
      </c>
      <c r="H495">
        <v>0.88859008835958508</v>
      </c>
      <c r="I495">
        <v>0.91400000000000003</v>
      </c>
      <c r="J495">
        <v>0.90778688524590168</v>
      </c>
      <c r="K495">
        <v>0.77764751856193826</v>
      </c>
    </row>
    <row r="496" spans="1:11" x14ac:dyDescent="0.3">
      <c r="A496" s="1" t="str">
        <f>HYPERLINK("[.\tse_pressure_data\2855.xlsx]2855!$A268","﻿統一證          ")</f>
        <v xml:space="preserve">﻿統一證          </v>
      </c>
      <c r="B496">
        <v>0.76808686930356285</v>
      </c>
      <c r="C496">
        <v>0.73929401817797502</v>
      </c>
      <c r="D496">
        <v>0.65235789559344104</v>
      </c>
      <c r="E496">
        <v>0.68050401311814968</v>
      </c>
      <c r="F496">
        <v>0.72461257976298998</v>
      </c>
      <c r="G496">
        <v>0.69088098918083463</v>
      </c>
      <c r="H496">
        <v>0.69684152452760795</v>
      </c>
      <c r="I496">
        <v>0.65197045464972248</v>
      </c>
      <c r="J496">
        <v>0.67635193545288641</v>
      </c>
      <c r="K496">
        <v>0.65165255945183398</v>
      </c>
    </row>
    <row r="497" spans="1:11" x14ac:dyDescent="0.3">
      <c r="A497" s="1" t="str">
        <f>HYPERLINK("[.\tse_pressure_data\2856.xlsx]2856!$A268","﻿元富證          ")</f>
        <v xml:space="preserve">﻿元富證          </v>
      </c>
      <c r="B497">
        <v>0.94990775773115288</v>
      </c>
      <c r="C497">
        <v>0.94099936133329276</v>
      </c>
      <c r="D497">
        <v>0.85993952429938592</v>
      </c>
      <c r="E497">
        <v>0.89952233584499464</v>
      </c>
      <c r="F497">
        <v>0.96541733219419779</v>
      </c>
      <c r="G497">
        <v>1.0626392771767756</v>
      </c>
      <c r="H497">
        <v>1.0561625693237315</v>
      </c>
      <c r="I497">
        <v>1.0671286079971753</v>
      </c>
      <c r="J497">
        <v>1.1047411133785772</v>
      </c>
      <c r="K497">
        <v>0.98542134697194206</v>
      </c>
    </row>
    <row r="498" spans="1:11" x14ac:dyDescent="0.3">
      <c r="A498" s="1" t="str">
        <f>HYPERLINK("[.\tse_pressure_data\2867.xlsx]2867!$A268","﻿三商壽          ")</f>
        <v xml:space="preserve">﻿三商壽          </v>
      </c>
      <c r="B498">
        <v>1.4321450556830264</v>
      </c>
      <c r="C498">
        <v>1.3263859500634787</v>
      </c>
      <c r="D498">
        <v>1.2866828839087003</v>
      </c>
      <c r="E498">
        <v>1.2564800806858296</v>
      </c>
      <c r="F498">
        <v>1.1912918280210505</v>
      </c>
      <c r="G498">
        <v>1.1581789358961656</v>
      </c>
      <c r="H498">
        <v>1.1869407021339364</v>
      </c>
      <c r="I498">
        <v>1.2727272727272727</v>
      </c>
      <c r="J498">
        <v>1.2647709942441088</v>
      </c>
      <c r="K498">
        <v>1.2503174229955325</v>
      </c>
    </row>
    <row r="499" spans="1:11" x14ac:dyDescent="0.3">
      <c r="A499" s="1" t="str">
        <f>HYPERLINK("[.\tse_pressure_data\2880.xlsx]2880!$A268","﻿華南金          ")</f>
        <v xml:space="preserve">﻿華南金          </v>
      </c>
      <c r="B499">
        <v>0.58706922842329978</v>
      </c>
      <c r="C499">
        <v>0.63488129518851022</v>
      </c>
      <c r="D499">
        <v>0.54847728322019118</v>
      </c>
      <c r="E499">
        <v>0.54888909964047694</v>
      </c>
      <c r="F499">
        <v>0.53672499000535878</v>
      </c>
      <c r="G499">
        <v>0.56469482727760878</v>
      </c>
      <c r="H499">
        <v>0.49879248983149332</v>
      </c>
      <c r="I499">
        <v>0.50744567552923148</v>
      </c>
      <c r="J499">
        <v>0.4667507120511743</v>
      </c>
      <c r="K499">
        <v>0.44299102279983471</v>
      </c>
    </row>
    <row r="500" spans="1:11" x14ac:dyDescent="0.3">
      <c r="A500" s="1" t="str">
        <f>HYPERLINK("[.\tse_pressure_data\2881.xlsx]2881!$A268","﻿富邦金          ")</f>
        <v xml:space="preserve">﻿富邦金          </v>
      </c>
      <c r="B500">
        <v>0.73040455120101133</v>
      </c>
      <c r="C500">
        <v>0.76352084222214223</v>
      </c>
      <c r="D500">
        <v>0.70572083987973033</v>
      </c>
      <c r="E500">
        <v>0.73787828229677355</v>
      </c>
      <c r="F500">
        <v>0.71458613385473946</v>
      </c>
      <c r="G500">
        <v>0.74508518651844768</v>
      </c>
      <c r="H500">
        <v>0.68000495673631245</v>
      </c>
      <c r="I500">
        <v>0.67276669461976435</v>
      </c>
      <c r="J500">
        <v>0.65980697226567575</v>
      </c>
      <c r="K500">
        <v>0.67819990691179888</v>
      </c>
    </row>
    <row r="501" spans="1:11" x14ac:dyDescent="0.3">
      <c r="A501" s="1" t="str">
        <f>HYPERLINK("[.\tse_pressure_data\2882.xlsx]2882!$A268","﻿國泰金          ")</f>
        <v xml:space="preserve">﻿國泰金          </v>
      </c>
      <c r="B501">
        <v>1.1890532995698202</v>
      </c>
      <c r="C501">
        <v>1.1450523985155188</v>
      </c>
      <c r="D501">
        <v>1.0288553194926893</v>
      </c>
      <c r="E501">
        <v>1.0739707023831151</v>
      </c>
      <c r="F501">
        <v>0.9860809568117882</v>
      </c>
      <c r="G501">
        <v>0.94293196007041258</v>
      </c>
      <c r="H501">
        <v>0.94466101218895693</v>
      </c>
      <c r="I501">
        <v>0.9816770276975163</v>
      </c>
      <c r="J501">
        <v>0.9548053474364625</v>
      </c>
      <c r="K501">
        <v>1.0238704073018243</v>
      </c>
    </row>
    <row r="502" spans="1:11" x14ac:dyDescent="0.3">
      <c r="A502" s="1" t="str">
        <f>HYPERLINK("[.\tse_pressure_data\2883.xlsx]2883!$A268","﻿開發金          ")</f>
        <v xml:space="preserve">﻿開發金          </v>
      </c>
      <c r="B502">
        <v>0.84513184584178502</v>
      </c>
      <c r="C502">
        <v>0.84272200038030043</v>
      </c>
      <c r="D502">
        <v>0.8334514656055394</v>
      </c>
      <c r="E502">
        <v>0.82674856707683675</v>
      </c>
      <c r="F502">
        <v>0.82547949602760617</v>
      </c>
      <c r="G502">
        <v>0.83128549345215363</v>
      </c>
      <c r="H502">
        <v>0.86103056753596618</v>
      </c>
      <c r="I502">
        <v>0.83262629647922104</v>
      </c>
      <c r="J502">
        <v>0.77968117855438857</v>
      </c>
      <c r="K502">
        <v>0.83063762248390982</v>
      </c>
    </row>
    <row r="503" spans="1:11" x14ac:dyDescent="0.3">
      <c r="A503" s="1" t="str">
        <f>HYPERLINK("[.\tse_pressure_data\2884.xlsx]2884!$A268","﻿玉山金          ")</f>
        <v xml:space="preserve">﻿玉山金          </v>
      </c>
      <c r="B503">
        <v>0.85386795548793226</v>
      </c>
      <c r="C503">
        <v>0.68389219503957999</v>
      </c>
      <c r="D503">
        <v>0.64734473538678527</v>
      </c>
      <c r="E503">
        <v>0.6681240265887598</v>
      </c>
      <c r="F503">
        <v>0.64796986400929468</v>
      </c>
      <c r="G503">
        <v>0.7001147791867075</v>
      </c>
      <c r="H503">
        <v>0.68761358473421175</v>
      </c>
      <c r="I503">
        <v>0.68766698912843194</v>
      </c>
      <c r="J503">
        <v>0.66995680967463289</v>
      </c>
      <c r="K503">
        <v>0.68565478164249527</v>
      </c>
    </row>
    <row r="504" spans="1:11" x14ac:dyDescent="0.3">
      <c r="A504" s="1" t="str">
        <f>HYPERLINK("[.\tse_pressure_data\2885.xlsx]2885!$A268","﻿元大金          ")</f>
        <v xml:space="preserve">﻿元大金          </v>
      </c>
      <c r="B504">
        <v>1.1623781385327558</v>
      </c>
      <c r="C504">
        <v>1.0827513468829282</v>
      </c>
      <c r="D504">
        <v>1.0114641362476158</v>
      </c>
      <c r="E504">
        <v>0.99177113647492521</v>
      </c>
      <c r="F504">
        <v>0.9799955136113826</v>
      </c>
      <c r="G504">
        <v>0.97592173323858467</v>
      </c>
      <c r="H504">
        <v>0.95648056168235318</v>
      </c>
      <c r="I504">
        <v>1.0067120955517921</v>
      </c>
      <c r="J504">
        <v>0.96433911483253587</v>
      </c>
      <c r="K504">
        <v>1.0315023132382988</v>
      </c>
    </row>
    <row r="505" spans="1:11" x14ac:dyDescent="0.3">
      <c r="A505" s="1" t="str">
        <f>HYPERLINK("[.\tse_pressure_data\2886.xlsx]2886!$A268","﻿兆豐金          ")</f>
        <v xml:space="preserve">﻿兆豐金          </v>
      </c>
      <c r="B505">
        <v>0.74239571092138734</v>
      </c>
      <c r="C505">
        <v>0.68466650681553931</v>
      </c>
      <c r="D505">
        <v>0.62236913462283394</v>
      </c>
      <c r="E505">
        <v>0.623453084890359</v>
      </c>
      <c r="F505">
        <v>0.60540002962398698</v>
      </c>
      <c r="G505">
        <v>0.62691784294367214</v>
      </c>
      <c r="H505">
        <v>0.61108302476304988</v>
      </c>
      <c r="I505">
        <v>0.58819768527160721</v>
      </c>
      <c r="J505">
        <v>0.54879782318031478</v>
      </c>
      <c r="K505">
        <v>0.50540582966240544</v>
      </c>
    </row>
    <row r="506" spans="1:11" x14ac:dyDescent="0.3">
      <c r="A506" s="1" t="str">
        <f>HYPERLINK("[.\tse_pressure_data\2887.xlsx]2887!$A268","﻿台新金          ")</f>
        <v xml:space="preserve">﻿台新金          </v>
      </c>
      <c r="B506">
        <v>0.60936995815428108</v>
      </c>
      <c r="C506">
        <v>0.60752836689061351</v>
      </c>
      <c r="D506">
        <v>0.50816604841449731</v>
      </c>
      <c r="E506">
        <v>0.50204905780136788</v>
      </c>
      <c r="F506">
        <v>0.50389997810538611</v>
      </c>
      <c r="G506">
        <v>0.53948715540318415</v>
      </c>
      <c r="H506">
        <v>0.52110399584111156</v>
      </c>
      <c r="I506">
        <v>0.49960407941308349</v>
      </c>
      <c r="J506">
        <v>0.45208805955842413</v>
      </c>
      <c r="K506">
        <v>0.4588106625143662</v>
      </c>
    </row>
    <row r="507" spans="1:11" x14ac:dyDescent="0.3">
      <c r="A507" s="1" t="str">
        <f>HYPERLINK("[.\tse_pressure_data\2888.xlsx]2888!$A268","﻿新光金          ")</f>
        <v xml:space="preserve">﻿新光金          </v>
      </c>
      <c r="B507">
        <v>0.99999337665004207</v>
      </c>
      <c r="C507">
        <v>0.97540025233897976</v>
      </c>
      <c r="D507">
        <v>0.94138953784093837</v>
      </c>
      <c r="E507">
        <v>0.90349217121949732</v>
      </c>
      <c r="F507">
        <v>0.88787567595673877</v>
      </c>
      <c r="G507">
        <v>0.88852805773298493</v>
      </c>
      <c r="H507">
        <v>0.93430983237275311</v>
      </c>
      <c r="I507">
        <v>0.96472320055332583</v>
      </c>
      <c r="J507">
        <v>0.92272343301233317</v>
      </c>
      <c r="K507">
        <v>1.0304715353917437</v>
      </c>
    </row>
    <row r="508" spans="1:11" x14ac:dyDescent="0.3">
      <c r="A508" s="1" t="str">
        <f>HYPERLINK("[.\tse_pressure_data\2889.xlsx]2889!$A268","﻿國票金          ")</f>
        <v xml:space="preserve">﻿國票金          </v>
      </c>
      <c r="B508">
        <v>0.50042297753004295</v>
      </c>
      <c r="C508">
        <v>0.49494771679047989</v>
      </c>
      <c r="D508">
        <v>0.46009887005649719</v>
      </c>
      <c r="E508">
        <v>0.44614953074414743</v>
      </c>
      <c r="F508">
        <v>0.42928042599901906</v>
      </c>
      <c r="G508">
        <v>0.42140748612587081</v>
      </c>
      <c r="H508">
        <v>0.41894638877323603</v>
      </c>
      <c r="I508">
        <v>0.40440205242836824</v>
      </c>
      <c r="J508">
        <v>0.47818187189789646</v>
      </c>
      <c r="K508">
        <v>0.45756012190338252</v>
      </c>
    </row>
    <row r="509" spans="1:11" x14ac:dyDescent="0.3">
      <c r="A509" s="1" t="str">
        <f>HYPERLINK("[.\tse_pressure_data\2890.xlsx]2890!$A268","﻿永豐金          ")</f>
        <v xml:space="preserve">﻿永豐金          </v>
      </c>
      <c r="B509">
        <v>0.79533227887328128</v>
      </c>
      <c r="C509">
        <v>0.78533636054489808</v>
      </c>
      <c r="D509">
        <v>0.70415189528224709</v>
      </c>
      <c r="E509">
        <v>0.66169850143459352</v>
      </c>
      <c r="F509">
        <v>0.65122925761087491</v>
      </c>
      <c r="G509">
        <v>0.7324801054285569</v>
      </c>
      <c r="H509">
        <v>0.72919283206225183</v>
      </c>
      <c r="I509">
        <v>0.69066393527024028</v>
      </c>
      <c r="J509">
        <v>0.61363863613638636</v>
      </c>
      <c r="K509">
        <v>0.61810196781921001</v>
      </c>
    </row>
    <row r="510" spans="1:11" x14ac:dyDescent="0.3">
      <c r="A510" s="1" t="str">
        <f>HYPERLINK("[.\tse_pressure_data\2891.xlsx]2891!$A268","﻿中信金          ")</f>
        <v xml:space="preserve">﻿中信金          </v>
      </c>
      <c r="B510">
        <v>1.260066892160012</v>
      </c>
      <c r="C510">
        <v>1.274713600535007</v>
      </c>
      <c r="D510">
        <v>1.2354074406360898</v>
      </c>
      <c r="E510">
        <v>1.1878256270413403</v>
      </c>
      <c r="F510">
        <v>1.1580222764984511</v>
      </c>
      <c r="G510">
        <v>1.2016241114283979</v>
      </c>
      <c r="H510">
        <v>1.1706438621081205</v>
      </c>
      <c r="I510">
        <v>0.66635009944988977</v>
      </c>
      <c r="J510">
        <v>0.65426319549778789</v>
      </c>
      <c r="K510">
        <v>0.66419903716752693</v>
      </c>
    </row>
    <row r="511" spans="1:11" x14ac:dyDescent="0.3">
      <c r="A511" s="1" t="str">
        <f>HYPERLINK("[.\tse_pressure_data\2892.xlsx]2892!$A268","﻿第一金          ")</f>
        <v xml:space="preserve">﻿第一金          </v>
      </c>
      <c r="B511">
        <v>0.65566099272275569</v>
      </c>
      <c r="C511">
        <v>0.69671503636426901</v>
      </c>
      <c r="D511">
        <v>0.62141365534773929</v>
      </c>
      <c r="E511">
        <v>0.62425194536587569</v>
      </c>
      <c r="F511">
        <v>0.57373309882378809</v>
      </c>
      <c r="G511">
        <v>0.59381182424660683</v>
      </c>
      <c r="H511">
        <v>0.58936165158102294</v>
      </c>
      <c r="I511">
        <v>0.5829915080168</v>
      </c>
      <c r="J511">
        <v>0.54476482326992348</v>
      </c>
      <c r="K511">
        <v>0.53020351296213364</v>
      </c>
    </row>
    <row r="512" spans="1:11" x14ac:dyDescent="0.3">
      <c r="A512" s="1" t="str">
        <f>HYPERLINK("[.\tse_pressure_data\2901.xlsx]2901!$A268","﻿欣欣            ")</f>
        <v xml:space="preserve">﻿欣欣            </v>
      </c>
      <c r="B512">
        <v>0.71739130434782605</v>
      </c>
      <c r="C512">
        <v>0.87368421052631584</v>
      </c>
      <c r="D512">
        <v>0.88995215311004783</v>
      </c>
      <c r="E512">
        <v>0.8303571428571429</v>
      </c>
      <c r="F512">
        <v>0.82959641255605376</v>
      </c>
      <c r="G512">
        <v>0.83181818181818179</v>
      </c>
      <c r="H512">
        <v>0.82211538461538458</v>
      </c>
      <c r="I512">
        <v>0.77884615384615385</v>
      </c>
      <c r="J512">
        <v>0.67980295566502458</v>
      </c>
      <c r="K512">
        <v>0.67164179104477617</v>
      </c>
    </row>
    <row r="513" spans="1:11" x14ac:dyDescent="0.3">
      <c r="A513" s="1" t="str">
        <f>HYPERLINK("[.\tse_pressure_data\2903.xlsx]2903!$A268","﻿遠百            ")</f>
        <v xml:space="preserve">﻿遠百            </v>
      </c>
      <c r="B513">
        <v>0.71267853902584444</v>
      </c>
      <c r="C513">
        <v>0.77068222432460842</v>
      </c>
      <c r="D513">
        <v>0.73443002556804482</v>
      </c>
      <c r="E513">
        <v>0.73745345542258967</v>
      </c>
      <c r="F513">
        <v>0.7568468851993756</v>
      </c>
      <c r="G513">
        <v>0.7500359902106627</v>
      </c>
      <c r="H513">
        <v>0.7458716937015929</v>
      </c>
      <c r="I513">
        <v>0.72285844072010907</v>
      </c>
      <c r="J513">
        <v>0.81703199380050928</v>
      </c>
      <c r="K513">
        <v>0.80692080461386972</v>
      </c>
    </row>
    <row r="514" spans="1:11" x14ac:dyDescent="0.3">
      <c r="A514" s="1" t="str">
        <f>HYPERLINK("[.\tse_pressure_data\2904.xlsx]2904!$A268","﻿匯僑            ")</f>
        <v xml:space="preserve">﻿匯僑            </v>
      </c>
      <c r="B514">
        <v>1.5156537753222836</v>
      </c>
      <c r="C514">
        <v>1.7651006711409396</v>
      </c>
      <c r="D514">
        <v>1.9492868462757529</v>
      </c>
      <c r="E514">
        <v>1.8500772797527048</v>
      </c>
      <c r="F514">
        <v>1.8290076335877863</v>
      </c>
      <c r="G514">
        <v>1.8051750380517504</v>
      </c>
      <c r="H514">
        <v>1.852760736196319</v>
      </c>
      <c r="I514">
        <v>1.9695024077046548</v>
      </c>
      <c r="J514">
        <v>1.9</v>
      </c>
      <c r="K514">
        <v>1.8916256157635467</v>
      </c>
    </row>
    <row r="515" spans="1:11" x14ac:dyDescent="0.3">
      <c r="A515" s="1" t="str">
        <f>HYPERLINK("[.\tse_pressure_data\2905.xlsx]2905!$A268","﻿三商            ")</f>
        <v xml:space="preserve">﻿三商            </v>
      </c>
      <c r="B515">
        <v>1.6600280504908835</v>
      </c>
      <c r="C515">
        <v>1.3224168570703225</v>
      </c>
      <c r="D515">
        <v>1.1415676959619951</v>
      </c>
      <c r="E515">
        <v>1.1085661933119559</v>
      </c>
      <c r="F515">
        <v>1.1520246270423868</v>
      </c>
      <c r="G515">
        <v>1.1269466729589428</v>
      </c>
      <c r="H515">
        <v>1.2023282887077997</v>
      </c>
      <c r="I515">
        <v>1.2150234741784038</v>
      </c>
      <c r="J515">
        <v>1.2291368621840726</v>
      </c>
      <c r="K515">
        <v>1.1019108280254777</v>
      </c>
    </row>
    <row r="516" spans="1:11" x14ac:dyDescent="0.3">
      <c r="A516" s="1" t="str">
        <f>HYPERLINK("[.\tse_pressure_data\2906.xlsx]2906!$A268","﻿高林            ")</f>
        <v xml:space="preserve">﻿高林            </v>
      </c>
      <c r="B516">
        <v>1.1314553990610328</v>
      </c>
      <c r="C516">
        <v>1.1286370597243491</v>
      </c>
      <c r="D516">
        <v>1.1380821917808219</v>
      </c>
      <c r="E516">
        <v>1.0737618545837724</v>
      </c>
      <c r="F516">
        <v>0.92756460454189504</v>
      </c>
      <c r="G516">
        <v>0.6528396436525612</v>
      </c>
      <c r="H516">
        <v>0.94165727170236757</v>
      </c>
      <c r="I516">
        <v>0.9446180062482249</v>
      </c>
      <c r="J516">
        <v>0.92150750920940772</v>
      </c>
      <c r="K516">
        <v>0.93331400405914755</v>
      </c>
    </row>
    <row r="517" spans="1:11" x14ac:dyDescent="0.3">
      <c r="A517" s="1" t="str">
        <f>HYPERLINK("[.\tse_pressure_data\2908.xlsx]2908!$A268","﻿特力            ")</f>
        <v xml:space="preserve">﻿特力            </v>
      </c>
      <c r="B517">
        <v>0.9831163547599675</v>
      </c>
      <c r="C517">
        <v>1.0293048128342246</v>
      </c>
      <c r="D517">
        <v>1.0646061386563641</v>
      </c>
      <c r="E517">
        <v>0.95527728085867625</v>
      </c>
      <c r="F517">
        <v>0.94685118331327722</v>
      </c>
      <c r="G517">
        <v>0.90822217798128613</v>
      </c>
      <c r="H517">
        <v>0.8764379214597382</v>
      </c>
      <c r="I517">
        <v>0.9182528551392507</v>
      </c>
      <c r="J517">
        <v>0.8968713789107764</v>
      </c>
      <c r="K517">
        <v>0.91745785700445648</v>
      </c>
    </row>
    <row r="518" spans="1:11" x14ac:dyDescent="0.3">
      <c r="A518" s="1" t="str">
        <f>HYPERLINK("[.\tse_pressure_data\2910.xlsx]2910!$A268","﻿統領            ")</f>
        <v xml:space="preserve">﻿統領            </v>
      </c>
      <c r="B518">
        <v>0.83582089552238803</v>
      </c>
      <c r="C518">
        <v>0.96923076923076923</v>
      </c>
      <c r="D518">
        <v>0.95522388059701491</v>
      </c>
      <c r="E518">
        <v>0.91176470588235292</v>
      </c>
      <c r="F518">
        <v>0.9</v>
      </c>
      <c r="G518">
        <v>1.046875</v>
      </c>
      <c r="H518">
        <v>1.0588235294117647</v>
      </c>
      <c r="I518">
        <v>1.6590909090909092</v>
      </c>
      <c r="J518">
        <v>1.8205128205128205</v>
      </c>
      <c r="K518">
        <v>2.0555555555555554</v>
      </c>
    </row>
    <row r="519" spans="1:11" x14ac:dyDescent="0.3">
      <c r="A519" s="1" t="str">
        <f>HYPERLINK("[.\tse_pressure_data\2911.xlsx]2911!$A268","﻿麗嬰房          ")</f>
        <v xml:space="preserve">﻿麗嬰房          </v>
      </c>
      <c r="B519">
        <v>0.76345508190049849</v>
      </c>
      <c r="C519">
        <v>0.73561559084347283</v>
      </c>
      <c r="D519">
        <v>0.71852156903119535</v>
      </c>
      <c r="E519">
        <v>0.69334430614134346</v>
      </c>
      <c r="F519">
        <v>0.73097955301949591</v>
      </c>
      <c r="G519">
        <v>0.890027116601386</v>
      </c>
      <c r="H519">
        <v>0.90525996665150821</v>
      </c>
      <c r="I519">
        <v>0.91262587141750584</v>
      </c>
      <c r="J519">
        <v>0.75412014885699097</v>
      </c>
      <c r="K519">
        <v>0.76816850327800246</v>
      </c>
    </row>
    <row r="520" spans="1:11" x14ac:dyDescent="0.3">
      <c r="A520" s="1" t="str">
        <f>HYPERLINK("[.\tse_pressure_data\2912.xlsx]2912!$A268","﻿統一超          ")</f>
        <v xml:space="preserve">﻿統一超          </v>
      </c>
      <c r="B520">
        <v>0.85611510791366907</v>
      </c>
      <c r="C520">
        <v>1.0042596944770859</v>
      </c>
      <c r="D520">
        <v>0.89460784313725494</v>
      </c>
      <c r="E520">
        <v>0.86428281186509548</v>
      </c>
      <c r="F520">
        <v>0.76325478645066269</v>
      </c>
      <c r="G520">
        <v>0.80335385824708505</v>
      </c>
      <c r="H520">
        <v>0.78809201623815972</v>
      </c>
      <c r="I520">
        <v>0.80192495466592273</v>
      </c>
      <c r="J520">
        <v>0.79031178910745348</v>
      </c>
      <c r="K520">
        <v>0.86643138319533053</v>
      </c>
    </row>
    <row r="521" spans="1:11" x14ac:dyDescent="0.3">
      <c r="A521" s="1" t="str">
        <f>HYPERLINK("[.\tse_pressure_data\2913.xlsx]2913!$A268","﻿農林            ")</f>
        <v xml:space="preserve">﻿農林            </v>
      </c>
      <c r="B521">
        <v>1.127375087966221</v>
      </c>
      <c r="C521">
        <v>1.0533218456825579</v>
      </c>
      <c r="D521">
        <v>1.0290766566402334</v>
      </c>
      <c r="E521">
        <v>0.91524295540270695</v>
      </c>
      <c r="F521">
        <v>0.92026019587779562</v>
      </c>
      <c r="G521">
        <v>0.91442632584104599</v>
      </c>
      <c r="H521">
        <v>0.90591204037490991</v>
      </c>
      <c r="I521">
        <v>0.8518043075167594</v>
      </c>
      <c r="J521">
        <v>0.84695487535500158</v>
      </c>
      <c r="K521">
        <v>0.92416817126644313</v>
      </c>
    </row>
    <row r="522" spans="1:11" x14ac:dyDescent="0.3">
      <c r="A522" s="1" t="str">
        <f>HYPERLINK("[.\tse_pressure_data\2915.xlsx]2915!$A268","﻿潤泰全          ")</f>
        <v xml:space="preserve">﻿潤泰全          </v>
      </c>
      <c r="B522">
        <v>1.1419854655148773</v>
      </c>
      <c r="C522">
        <v>1.1271126164267571</v>
      </c>
      <c r="D522">
        <v>1.0689483798290371</v>
      </c>
      <c r="E522">
        <v>1.0802189876737478</v>
      </c>
      <c r="F522">
        <v>0.98151375575750033</v>
      </c>
      <c r="G522">
        <v>1.0085669781931463</v>
      </c>
      <c r="H522">
        <v>1.096465964151391</v>
      </c>
      <c r="I522">
        <v>1.0149362132120754</v>
      </c>
      <c r="J522">
        <v>0.92724350225942442</v>
      </c>
      <c r="K522">
        <v>0.87779642911643518</v>
      </c>
    </row>
    <row r="523" spans="1:11" x14ac:dyDescent="0.3">
      <c r="A523" s="1" t="str">
        <f>HYPERLINK("[.\tse_pressure_data\2923.xlsx]2923!$A268","﻿F-鼎固          ")</f>
        <v xml:space="preserve">﻿F-鼎固          </v>
      </c>
      <c r="B523">
        <v>0.62525050100200397</v>
      </c>
      <c r="C523">
        <v>0.62173038229376254</v>
      </c>
      <c r="D523">
        <v>0.62336354481369582</v>
      </c>
      <c r="E523">
        <v>0.61776859504132231</v>
      </c>
      <c r="F523">
        <v>0.58805355303810503</v>
      </c>
      <c r="G523">
        <v>0.61430119176598053</v>
      </c>
      <c r="H523">
        <v>0.58700440528634357</v>
      </c>
      <c r="I523">
        <v>0.62094763092269323</v>
      </c>
      <c r="J523">
        <v>0.67798913043478259</v>
      </c>
      <c r="K523">
        <v>0.58701657458563539</v>
      </c>
    </row>
    <row r="524" spans="1:11" x14ac:dyDescent="0.3">
      <c r="A524" s="1" t="str">
        <f>HYPERLINK("[.\tse_pressure_data\2929.xlsx]2929!$A268","﻿F-淘帝          ")</f>
        <v xml:space="preserve">﻿F-淘帝          </v>
      </c>
      <c r="B524">
        <v>1.1456930166607586</v>
      </c>
      <c r="C524">
        <v>1.0829351535836178</v>
      </c>
      <c r="D524">
        <v>1.0973451327433628</v>
      </c>
      <c r="E524">
        <v>1.0883639545056867</v>
      </c>
      <c r="F524">
        <v>1.0652956298200513</v>
      </c>
      <c r="G524">
        <v>1.0133102852203977</v>
      </c>
      <c r="H524">
        <v>1.1172974043986528</v>
      </c>
      <c r="I524">
        <v>1.1413021568232211</v>
      </c>
      <c r="J524">
        <v>1.3142729506365869</v>
      </c>
      <c r="K524">
        <v>1.3657673595754092</v>
      </c>
    </row>
    <row r="525" spans="1:11" x14ac:dyDescent="0.3">
      <c r="A525" s="1" t="str">
        <f>HYPERLINK("[.\tse_pressure_data\3002.xlsx]3002!$A268","﻿歐格            ")</f>
        <v xml:space="preserve">﻿歐格            </v>
      </c>
      <c r="B525">
        <v>1.0909090909090908</v>
      </c>
      <c r="C525">
        <v>1.0385208012326657</v>
      </c>
      <c r="D525">
        <v>0.98848810437452028</v>
      </c>
      <c r="E525">
        <v>1.041897233201581</v>
      </c>
      <c r="F525">
        <v>1.0431596091205211</v>
      </c>
      <c r="G525">
        <v>0.99342105263157898</v>
      </c>
      <c r="H525">
        <v>0.98865478119935168</v>
      </c>
      <c r="I525">
        <v>1.0032546786004881</v>
      </c>
      <c r="J525">
        <v>1.0109151973131822</v>
      </c>
      <c r="K525">
        <v>0.99659284497444633</v>
      </c>
    </row>
    <row r="526" spans="1:11" x14ac:dyDescent="0.3">
      <c r="A526" s="1" t="str">
        <f>HYPERLINK("[.\tse_pressure_data\3003.xlsx]3003!$A268","﻿健和興          ")</f>
        <v xml:space="preserve">﻿健和興          </v>
      </c>
      <c r="B526">
        <v>1.7391030684500393</v>
      </c>
      <c r="C526">
        <v>1.6788008565310493</v>
      </c>
      <c r="D526">
        <v>1.6041881728358649</v>
      </c>
      <c r="E526">
        <v>1.6190842040565459</v>
      </c>
      <c r="F526">
        <v>1.4168482207697894</v>
      </c>
      <c r="G526">
        <v>1.3347949080622348</v>
      </c>
      <c r="H526">
        <v>1.4023298764028982</v>
      </c>
      <c r="I526">
        <v>1.4090582314881381</v>
      </c>
      <c r="J526">
        <v>1.442287898838406</v>
      </c>
      <c r="K526">
        <v>1.4026392961876832</v>
      </c>
    </row>
    <row r="527" spans="1:11" x14ac:dyDescent="0.3">
      <c r="A527" s="1" t="str">
        <f>HYPERLINK("[.\tse_pressure_data\3004.xlsx]3004!$A268","﻿豐達科          ")</f>
        <v xml:space="preserve">﻿豐達科          </v>
      </c>
      <c r="B527">
        <v>1.3145896656534954</v>
      </c>
      <c r="C527">
        <v>1.3472012102874433</v>
      </c>
      <c r="D527">
        <v>1.2638788752703678</v>
      </c>
      <c r="E527">
        <v>1.3185776487663281</v>
      </c>
      <c r="F527">
        <v>1.4884586746090842</v>
      </c>
      <c r="G527">
        <v>1.5097897026831038</v>
      </c>
      <c r="H527">
        <v>1.5636758321273516</v>
      </c>
      <c r="I527">
        <v>1.4552683896620278</v>
      </c>
      <c r="J527">
        <v>1.1898652982681206</v>
      </c>
      <c r="K527">
        <v>1.1289719626168224</v>
      </c>
    </row>
    <row r="528" spans="1:11" x14ac:dyDescent="0.3">
      <c r="A528" s="1" t="str">
        <f>HYPERLINK("[.\tse_pressure_data\3005.xlsx]3005!$A268","﻿神基            ")</f>
        <v xml:space="preserve">﻿神基            </v>
      </c>
      <c r="B528">
        <v>1.7969776903473869</v>
      </c>
      <c r="C528">
        <v>1.2137973173499375</v>
      </c>
      <c r="D528">
        <v>1.1060144346431435</v>
      </c>
      <c r="E528">
        <v>1.0858493997817389</v>
      </c>
      <c r="F528">
        <v>1.0542212609712547</v>
      </c>
      <c r="G528">
        <v>1.0127428502473754</v>
      </c>
      <c r="H528">
        <v>1.0309631653365927</v>
      </c>
      <c r="I528">
        <v>1.0467063549682978</v>
      </c>
      <c r="J528">
        <v>1.0467485220554797</v>
      </c>
      <c r="K528">
        <v>1.0199049316696376</v>
      </c>
    </row>
    <row r="529" spans="1:11" x14ac:dyDescent="0.3">
      <c r="A529" s="1" t="str">
        <f>HYPERLINK("[.\tse_pressure_data\3006.xlsx]3006!$A268","﻿晶豪科          ")</f>
        <v xml:space="preserve">﻿晶豪科          </v>
      </c>
      <c r="B529">
        <v>1.0553927019104417</v>
      </c>
      <c r="C529">
        <v>0.97982722390847532</v>
      </c>
      <c r="D529">
        <v>0.93946084127353013</v>
      </c>
      <c r="E529">
        <v>0.91709711347434852</v>
      </c>
      <c r="F529">
        <v>0.92213995700979223</v>
      </c>
      <c r="G529">
        <v>0.88757859711790177</v>
      </c>
      <c r="H529">
        <v>0.90702044497895373</v>
      </c>
      <c r="I529">
        <v>0.71639969108891155</v>
      </c>
      <c r="J529">
        <v>0.92471862735558363</v>
      </c>
      <c r="K529">
        <v>0.93072005711133465</v>
      </c>
    </row>
    <row r="530" spans="1:11" x14ac:dyDescent="0.3">
      <c r="A530" s="1" t="str">
        <f>HYPERLINK("[.\tse_pressure_data\3008.xlsx]3008!$A268","﻿大立光          ")</f>
        <v xml:space="preserve">﻿大立光          </v>
      </c>
      <c r="B530">
        <v>1.2204159693999521</v>
      </c>
      <c r="C530">
        <v>1.3145887285731903</v>
      </c>
      <c r="D530">
        <v>1.3124767686779828</v>
      </c>
      <c r="E530">
        <v>1.4029012023000522</v>
      </c>
      <c r="F530">
        <v>1.3443449754129366</v>
      </c>
      <c r="G530">
        <v>1.4103885804916734</v>
      </c>
      <c r="H530">
        <v>1.3129581151832461</v>
      </c>
      <c r="I530">
        <v>1.335649385355425</v>
      </c>
      <c r="J530">
        <v>1.2898320772180352</v>
      </c>
      <c r="K530">
        <v>1.3514075717653584</v>
      </c>
    </row>
    <row r="531" spans="1:11" x14ac:dyDescent="0.3">
      <c r="A531" s="1" t="str">
        <f>HYPERLINK("[.\tse_pressure_data\3010.xlsx]3010!$A268","﻿華立            ")</f>
        <v xml:space="preserve">﻿華立            </v>
      </c>
      <c r="B531">
        <v>0.95737298636926893</v>
      </c>
      <c r="C531">
        <v>0.93796159527326439</v>
      </c>
      <c r="D531">
        <v>0.98682476943346509</v>
      </c>
      <c r="E531">
        <v>0.96814112690889942</v>
      </c>
      <c r="F531">
        <v>0.99438652766639934</v>
      </c>
      <c r="G531">
        <v>0.91686650679456438</v>
      </c>
      <c r="H531">
        <v>0.9178272980501393</v>
      </c>
      <c r="I531">
        <v>0.92392566782810681</v>
      </c>
      <c r="J531">
        <v>0.84094802969731586</v>
      </c>
      <c r="K531">
        <v>0.84678602876430875</v>
      </c>
    </row>
    <row r="532" spans="1:11" x14ac:dyDescent="0.3">
      <c r="A532" s="1" t="str">
        <f>HYPERLINK("[.\tse_pressure_data\3011.xlsx]3011!$A268","﻿今皓            ")</f>
        <v xml:space="preserve">﻿今皓            </v>
      </c>
      <c r="B532">
        <v>1.1225490196078431</v>
      </c>
      <c r="C532">
        <v>1.1869073111043134</v>
      </c>
      <c r="D532">
        <v>1.1243417203042716</v>
      </c>
      <c r="E532">
        <v>1.0950592314360013</v>
      </c>
      <c r="F532">
        <v>1.0809347392419493</v>
      </c>
      <c r="G532">
        <v>1.031984149448061</v>
      </c>
      <c r="H532">
        <v>1.0822949869603014</v>
      </c>
      <c r="I532">
        <v>1.0533219275734247</v>
      </c>
      <c r="J532">
        <v>1.0850238663484486</v>
      </c>
      <c r="K532">
        <v>1.0441436138905238</v>
      </c>
    </row>
    <row r="533" spans="1:11" x14ac:dyDescent="0.3">
      <c r="A533" s="1" t="str">
        <f>HYPERLINK("[.\tse_pressure_data\3013.xlsx]3013!$A268","﻿晟銘電          ")</f>
        <v xml:space="preserve">﻿晟銘電          </v>
      </c>
      <c r="B533">
        <v>1.5974037213327563</v>
      </c>
      <c r="C533">
        <v>1.6399333055439766</v>
      </c>
      <c r="D533">
        <v>1.6924561550725854</v>
      </c>
      <c r="E533">
        <v>1.9562109025915997</v>
      </c>
      <c r="F533">
        <v>1.4335343927618607</v>
      </c>
      <c r="G533">
        <v>1.3783390267122138</v>
      </c>
      <c r="H533">
        <v>1.6326318097117176</v>
      </c>
      <c r="I533">
        <v>1.1021070296475852</v>
      </c>
      <c r="J533">
        <v>1.1077129643443235</v>
      </c>
      <c r="K533">
        <v>1.1517691930063063</v>
      </c>
    </row>
    <row r="534" spans="1:11" x14ac:dyDescent="0.3">
      <c r="A534" s="1" t="str">
        <f>HYPERLINK("[.\tse_pressure_data\3014.xlsx]3014!$A268","﻿聯陽            ")</f>
        <v xml:space="preserve">﻿聯陽            </v>
      </c>
      <c r="B534">
        <v>0.69531151270061919</v>
      </c>
      <c r="C534">
        <v>0.74428896843475434</v>
      </c>
      <c r="D534">
        <v>0.5876908838500694</v>
      </c>
      <c r="E534">
        <v>0.66203128880059603</v>
      </c>
      <c r="F534">
        <v>1.0414000000000001</v>
      </c>
      <c r="G534">
        <v>1.1544733362714852</v>
      </c>
      <c r="H534">
        <v>1.5389012384884091</v>
      </c>
      <c r="I534">
        <v>1.5033866995073892</v>
      </c>
      <c r="J534">
        <v>1.5260188087774296</v>
      </c>
      <c r="K534">
        <v>1.6497034030596316</v>
      </c>
    </row>
    <row r="535" spans="1:11" x14ac:dyDescent="0.3">
      <c r="A535" s="1" t="str">
        <f>HYPERLINK("[.\tse_pressure_data\3015.xlsx]3015!$A268","﻿全漢            ")</f>
        <v xml:space="preserve">﻿全漢            </v>
      </c>
      <c r="B535">
        <v>0.79117106069895771</v>
      </c>
      <c r="C535">
        <v>0.76088019559902198</v>
      </c>
      <c r="D535">
        <v>0.69425033713375017</v>
      </c>
      <c r="E535">
        <v>0.63676797627872495</v>
      </c>
      <c r="F535">
        <v>0.54066675314567392</v>
      </c>
      <c r="G535">
        <v>0.55980861244019142</v>
      </c>
      <c r="H535">
        <v>1.1570066030814381</v>
      </c>
      <c r="I535">
        <v>1.1923954372623573</v>
      </c>
      <c r="J535">
        <v>1.2127008416220353</v>
      </c>
      <c r="K535">
        <v>1.236963190184049</v>
      </c>
    </row>
    <row r="536" spans="1:11" x14ac:dyDescent="0.3">
      <c r="A536" s="1" t="str">
        <f>HYPERLINK("[.\tse_pressure_data\3016.xlsx]3016!$A268","﻿嘉晶            ")</f>
        <v xml:space="preserve">﻿嘉晶            </v>
      </c>
      <c r="B536">
        <v>1.0197730482637706</v>
      </c>
      <c r="C536">
        <v>0.95320647087659882</v>
      </c>
      <c r="D536">
        <v>0.9166787548231744</v>
      </c>
      <c r="E536">
        <v>0.90673373497448906</v>
      </c>
      <c r="F536">
        <v>0.89736557917471871</v>
      </c>
      <c r="G536">
        <v>0.81893377301456449</v>
      </c>
      <c r="H536">
        <v>0.77353238175813976</v>
      </c>
      <c r="I536">
        <v>0.58338043293958064</v>
      </c>
      <c r="J536">
        <v>0.93863682239217705</v>
      </c>
      <c r="K536">
        <v>0.98799337252320751</v>
      </c>
    </row>
    <row r="537" spans="1:11" x14ac:dyDescent="0.3">
      <c r="A537" s="1" t="str">
        <f>HYPERLINK("[.\tse_pressure_data\3017.xlsx]3017!$A268","﻿奇鋐            ")</f>
        <v xml:space="preserve">﻿奇鋐            </v>
      </c>
      <c r="B537">
        <v>1.3735853780671006</v>
      </c>
      <c r="C537">
        <v>1.6529996129531674</v>
      </c>
      <c r="D537">
        <v>1.3395034843205575</v>
      </c>
      <c r="E537">
        <v>1.1713478446753536</v>
      </c>
      <c r="F537">
        <v>1.2229115136040851</v>
      </c>
      <c r="G537">
        <v>1.1986621677617948</v>
      </c>
      <c r="H537">
        <v>1.2963698023045205</v>
      </c>
      <c r="I537">
        <v>1.219170222684405</v>
      </c>
      <c r="J537">
        <v>1.2437633642195296</v>
      </c>
      <c r="K537">
        <v>1.2088279750683582</v>
      </c>
    </row>
    <row r="538" spans="1:11" x14ac:dyDescent="0.3">
      <c r="A538" s="1" t="str">
        <f>HYPERLINK("[.\tse_pressure_data\3018.xlsx]3018!$A268","﻿同開            ")</f>
        <v xml:space="preserve">﻿同開            </v>
      </c>
      <c r="B538">
        <v>1.0629790760306608</v>
      </c>
      <c r="C538">
        <v>0.87414584966954179</v>
      </c>
      <c r="D538">
        <v>0.71321321321321318</v>
      </c>
      <c r="E538">
        <v>0.71311512313718428</v>
      </c>
      <c r="F538">
        <v>0.6998012826302954</v>
      </c>
      <c r="G538">
        <v>0.68463020203377678</v>
      </c>
      <c r="H538">
        <v>0.68063038793103448</v>
      </c>
      <c r="I538">
        <v>0.67366800959666828</v>
      </c>
      <c r="J538">
        <v>0.66542143357459727</v>
      </c>
      <c r="K538">
        <v>0.65413884868574634</v>
      </c>
    </row>
    <row r="539" spans="1:11" x14ac:dyDescent="0.3">
      <c r="A539" s="1" t="str">
        <f>HYPERLINK("[.\tse_pressure_data\3019.xlsx]3019!$A268","﻿亞光            ")</f>
        <v xml:space="preserve">﻿亞光            </v>
      </c>
      <c r="B539">
        <v>0.57857205519281141</v>
      </c>
      <c r="C539">
        <v>0.51446961475003605</v>
      </c>
      <c r="D539">
        <v>0.48161019953408285</v>
      </c>
      <c r="E539">
        <v>0.59330476357996065</v>
      </c>
      <c r="F539">
        <v>0.52114072954011492</v>
      </c>
      <c r="G539">
        <v>0.78830289101245921</v>
      </c>
      <c r="H539">
        <v>1.2819662653880159</v>
      </c>
      <c r="I539">
        <v>1.2784465630374167</v>
      </c>
      <c r="J539">
        <v>1.3658890091852058</v>
      </c>
      <c r="K539">
        <v>1.3408377865885193</v>
      </c>
    </row>
    <row r="540" spans="1:11" x14ac:dyDescent="0.3">
      <c r="A540" s="1" t="str">
        <f>HYPERLINK("[.\tse_pressure_data\3021.xlsx]3021!$A268","﻿鴻名            ")</f>
        <v xml:space="preserve">﻿鴻名            </v>
      </c>
      <c r="B540">
        <v>1.2294220665499125</v>
      </c>
      <c r="C540">
        <v>0.99862258953168048</v>
      </c>
      <c r="D540">
        <v>0.99659632402995235</v>
      </c>
      <c r="E540">
        <v>1.023876404494382</v>
      </c>
      <c r="F540">
        <v>0.99027777777777781</v>
      </c>
      <c r="G540">
        <v>0.90946502057613166</v>
      </c>
      <c r="H540">
        <v>0.85754583921015515</v>
      </c>
      <c r="I540">
        <v>0.75664621676891619</v>
      </c>
      <c r="J540">
        <v>0.72210953346855988</v>
      </c>
      <c r="K540">
        <v>0.64444444444444449</v>
      </c>
    </row>
    <row r="541" spans="1:11" x14ac:dyDescent="0.3">
      <c r="A541" s="1" t="str">
        <f>HYPERLINK("[.\tse_pressure_data\3022.xlsx]3022!$A268","﻿威強電          ")</f>
        <v xml:space="preserve">﻿威強電          </v>
      </c>
      <c r="B541">
        <v>0.85382059800664456</v>
      </c>
      <c r="C541">
        <v>0.90391861341371516</v>
      </c>
      <c r="D541">
        <v>0.94571203776553892</v>
      </c>
      <c r="E541">
        <v>1.0337340054284607</v>
      </c>
      <c r="F541">
        <v>1.028941355674029</v>
      </c>
      <c r="G541">
        <v>1.1055640243902438</v>
      </c>
      <c r="H541">
        <v>1.2209856915739268</v>
      </c>
      <c r="I541">
        <v>1.1970245275432247</v>
      </c>
      <c r="J541">
        <v>1.1954765751211631</v>
      </c>
      <c r="K541">
        <v>1.2116991643454038</v>
      </c>
    </row>
    <row r="542" spans="1:11" x14ac:dyDescent="0.3">
      <c r="A542" s="1" t="str">
        <f>HYPERLINK("[.\tse_pressure_data\3023.xlsx]3023!$A268","﻿信邦            ")</f>
        <v xml:space="preserve">﻿信邦            </v>
      </c>
      <c r="B542">
        <v>1.4569637883008357</v>
      </c>
      <c r="C542">
        <v>1.5369838148540311</v>
      </c>
      <c r="D542">
        <v>1.5068074040079547</v>
      </c>
      <c r="E542">
        <v>1.3005836575875487</v>
      </c>
      <c r="F542">
        <v>1.1721845318860245</v>
      </c>
      <c r="G542">
        <v>1.2201899900751454</v>
      </c>
      <c r="H542">
        <v>1.1141949737641534</v>
      </c>
      <c r="I542">
        <v>1.6066199872692553</v>
      </c>
      <c r="J542">
        <v>1.5766455280997158</v>
      </c>
      <c r="K542">
        <v>1.5944595821980019</v>
      </c>
    </row>
    <row r="543" spans="1:11" x14ac:dyDescent="0.3">
      <c r="A543" s="1" t="str">
        <f>HYPERLINK("[.\tse_pressure_data\3024.xlsx]3024!$A268","﻿憶聲            ")</f>
        <v xml:space="preserve">﻿憶聲            </v>
      </c>
      <c r="B543">
        <v>1.48957923712151</v>
      </c>
      <c r="C543">
        <v>1.5384920634920636</v>
      </c>
      <c r="D543">
        <v>1.3643382352941176</v>
      </c>
      <c r="E543">
        <v>1.3616071428571428</v>
      </c>
      <c r="F543">
        <v>1.3128685397155742</v>
      </c>
      <c r="G543">
        <v>1.2411273486430063</v>
      </c>
      <c r="H543">
        <v>1.2720994475138121</v>
      </c>
      <c r="I543">
        <v>1.2096500169894666</v>
      </c>
      <c r="J543">
        <v>1.1322645290581161</v>
      </c>
      <c r="K543">
        <v>1.0840781198278715</v>
      </c>
    </row>
    <row r="544" spans="1:11" x14ac:dyDescent="0.3">
      <c r="A544" s="1" t="str">
        <f>HYPERLINK("[.\tse_pressure_data\3025.xlsx]3025!$A268","﻿星通            ")</f>
        <v xml:space="preserve">﻿星通            </v>
      </c>
      <c r="B544">
        <v>1.0349127182044888</v>
      </c>
      <c r="C544">
        <v>1.051154086088584</v>
      </c>
      <c r="D544">
        <v>1.0280345040049292</v>
      </c>
      <c r="E544">
        <v>1.046807191568506</v>
      </c>
      <c r="F544">
        <v>1.0450590428837787</v>
      </c>
      <c r="G544">
        <v>1.0300337113086118</v>
      </c>
      <c r="H544">
        <v>1.1991341991341991</v>
      </c>
      <c r="I544">
        <v>0.83504942339373966</v>
      </c>
      <c r="J544">
        <v>0.87125107112253641</v>
      </c>
      <c r="K544">
        <v>0.83012295081967213</v>
      </c>
    </row>
    <row r="545" spans="1:11" x14ac:dyDescent="0.3">
      <c r="A545" s="1" t="str">
        <f>HYPERLINK("[.\tse_pressure_data\3026.xlsx]3026!$A268","﻿禾伸堂          ")</f>
        <v xml:space="preserve">﻿禾伸堂          </v>
      </c>
      <c r="B545">
        <v>1.0993123316593822</v>
      </c>
      <c r="C545">
        <v>0.9848423463096706</v>
      </c>
      <c r="D545">
        <v>0.96094637701896291</v>
      </c>
      <c r="E545">
        <v>1.0302802348404279</v>
      </c>
      <c r="F545">
        <v>0.95020932642487044</v>
      </c>
      <c r="G545">
        <v>0.87538724015624303</v>
      </c>
      <c r="H545">
        <v>0.94552085031946276</v>
      </c>
      <c r="I545">
        <v>0.95426919602529359</v>
      </c>
      <c r="J545">
        <v>0.88939209766171301</v>
      </c>
      <c r="K545">
        <v>0.85155744578890624</v>
      </c>
    </row>
    <row r="546" spans="1:11" x14ac:dyDescent="0.3">
      <c r="A546" s="1" t="str">
        <f>HYPERLINK("[.\tse_pressure_data\3027.xlsx]3027!$A268","﻿盛達            ")</f>
        <v xml:space="preserve">﻿盛達            </v>
      </c>
      <c r="B546">
        <v>1.0309319497106366</v>
      </c>
      <c r="C546">
        <v>0.99368783473603672</v>
      </c>
      <c r="D546">
        <v>0.99349904397705546</v>
      </c>
      <c r="E546">
        <v>0.98100789770590446</v>
      </c>
      <c r="F546">
        <v>0.89662676822633292</v>
      </c>
      <c r="G546">
        <v>0.89119170984455953</v>
      </c>
      <c r="H546">
        <v>0.98752416095589524</v>
      </c>
      <c r="I546">
        <v>1.1104488731607376</v>
      </c>
      <c r="J546">
        <v>1.0825234140307476</v>
      </c>
      <c r="K546">
        <v>1.1395594713656387</v>
      </c>
    </row>
    <row r="547" spans="1:11" x14ac:dyDescent="0.3">
      <c r="A547" s="1" t="str">
        <f>HYPERLINK("[.\tse_pressure_data\3028.xlsx]3028!$A268","﻿增你強          ")</f>
        <v xml:space="preserve">﻿增你強          </v>
      </c>
      <c r="B547">
        <v>0.8567830154731918</v>
      </c>
      <c r="C547">
        <v>0.88347730196655028</v>
      </c>
      <c r="D547">
        <v>0.86513761467889905</v>
      </c>
      <c r="E547">
        <v>0.84730913642052563</v>
      </c>
      <c r="F547">
        <v>0.83931683513419308</v>
      </c>
      <c r="G547">
        <v>0.82442356959863361</v>
      </c>
      <c r="H547">
        <v>0.83204267768026152</v>
      </c>
      <c r="I547">
        <v>0.78299776286353473</v>
      </c>
      <c r="J547">
        <v>0.83202051657812781</v>
      </c>
      <c r="K547">
        <v>0.86254826254826256</v>
      </c>
    </row>
    <row r="548" spans="1:11" x14ac:dyDescent="0.3">
      <c r="A548" s="1" t="str">
        <f>HYPERLINK("[.\tse_pressure_data\3029.xlsx]3029!$A268","﻿零壹            ")</f>
        <v xml:space="preserve">﻿零壹            </v>
      </c>
      <c r="B548">
        <v>1.5852738966511422</v>
      </c>
      <c r="C548">
        <v>1.6916070266753416</v>
      </c>
      <c r="D548">
        <v>1.6109118086696561</v>
      </c>
      <c r="E548">
        <v>1.3117661155044333</v>
      </c>
      <c r="F548">
        <v>1.2149270482603816</v>
      </c>
      <c r="G548">
        <v>1.1746773475745438</v>
      </c>
      <c r="H548">
        <v>1.1982632231870982</v>
      </c>
      <c r="I548">
        <v>1.1057743622585121</v>
      </c>
      <c r="J548">
        <v>1.1114864864864864</v>
      </c>
      <c r="K548">
        <v>1.0559597688850846</v>
      </c>
    </row>
    <row r="549" spans="1:11" x14ac:dyDescent="0.3">
      <c r="A549" s="1" t="str">
        <f>HYPERLINK("[.\tse_pressure_data\3030.xlsx]3030!$A268","﻿德律            ")</f>
        <v xml:space="preserve">﻿德律            </v>
      </c>
      <c r="B549">
        <v>1.0283678585565379</v>
      </c>
      <c r="C549">
        <v>1.2377959074495117</v>
      </c>
      <c r="D549">
        <v>1.0934077967586509</v>
      </c>
      <c r="E549">
        <v>0.97386319471434124</v>
      </c>
      <c r="F549">
        <v>0.97329823241820235</v>
      </c>
      <c r="G549">
        <v>0.85107692307692306</v>
      </c>
      <c r="H549">
        <v>0.80347977381470204</v>
      </c>
      <c r="I549">
        <v>0.79934267427780659</v>
      </c>
      <c r="J549">
        <v>0.80741364785172709</v>
      </c>
      <c r="K549">
        <v>0.75449851353465813</v>
      </c>
    </row>
    <row r="550" spans="1:11" x14ac:dyDescent="0.3">
      <c r="A550" s="1" t="str">
        <f>HYPERLINK("[.\tse_pressure_data\3031.xlsx]3031!$A268","﻿佰鴻            ")</f>
        <v xml:space="preserve">﻿佰鴻            </v>
      </c>
      <c r="B550">
        <v>1.0354660807963054</v>
      </c>
      <c r="C550">
        <v>0.97101449275362317</v>
      </c>
      <c r="D550">
        <v>0.96831200487507618</v>
      </c>
      <c r="E550">
        <v>1.0017150557393115</v>
      </c>
      <c r="F550">
        <v>1.0108463434675432</v>
      </c>
      <c r="G550">
        <v>0.98146195034885608</v>
      </c>
      <c r="H550">
        <v>0.98305844023620448</v>
      </c>
      <c r="I550">
        <v>0.92919480314338743</v>
      </c>
      <c r="J550">
        <v>0.91061452513966479</v>
      </c>
      <c r="K550">
        <v>0.91161495624502786</v>
      </c>
    </row>
    <row r="551" spans="1:11" x14ac:dyDescent="0.3">
      <c r="A551" s="1" t="str">
        <f>HYPERLINK("[.\tse_pressure_data\3032.xlsx]3032!$A268","﻿偉訓            ")</f>
        <v xml:space="preserve">﻿偉訓            </v>
      </c>
      <c r="B551">
        <v>1.4808853118712273</v>
      </c>
      <c r="C551">
        <v>1.28698752228164</v>
      </c>
      <c r="D551">
        <v>1.3100189035916825</v>
      </c>
      <c r="E551">
        <v>1.2272727272727273</v>
      </c>
      <c r="F551">
        <v>1.1515151515151516</v>
      </c>
      <c r="G551">
        <v>1.1368613138686132</v>
      </c>
      <c r="H551">
        <v>1.157983193277311</v>
      </c>
      <c r="I551">
        <v>1.2396551724137932</v>
      </c>
      <c r="J551">
        <v>1.2468239564428312</v>
      </c>
      <c r="K551">
        <v>1.1996527777777777</v>
      </c>
    </row>
    <row r="552" spans="1:11" x14ac:dyDescent="0.3">
      <c r="A552" s="1" t="str">
        <f>HYPERLINK("[.\tse_pressure_data\3033.xlsx]3033!$A268","﻿威健            ")</f>
        <v xml:space="preserve">﻿威健            </v>
      </c>
      <c r="B552">
        <v>0.92707837222839606</v>
      </c>
      <c r="C552">
        <v>0.95661888931276906</v>
      </c>
      <c r="D552">
        <v>0.90964118224451962</v>
      </c>
      <c r="E552">
        <v>0.84854558257949186</v>
      </c>
      <c r="F552">
        <v>0.82598796552284925</v>
      </c>
      <c r="G552">
        <v>0.7902002509957986</v>
      </c>
      <c r="H552">
        <v>0.8385948255399952</v>
      </c>
      <c r="I552">
        <v>0.6729375951293759</v>
      </c>
      <c r="J552">
        <v>0.82983623336745138</v>
      </c>
      <c r="K552">
        <v>0.91683950617283949</v>
      </c>
    </row>
    <row r="553" spans="1:11" x14ac:dyDescent="0.3">
      <c r="A553" s="1" t="str">
        <f>HYPERLINK("[.\tse_pressure_data\3034.xlsx]3034!$A268","﻿聯詠            ")</f>
        <v xml:space="preserve">﻿聯詠            </v>
      </c>
      <c r="B553">
        <v>0.94895810955961335</v>
      </c>
      <c r="C553">
        <v>0.94821016981043327</v>
      </c>
      <c r="D553">
        <v>0.90046224223409099</v>
      </c>
      <c r="E553">
        <v>0.86287715517241381</v>
      </c>
      <c r="F553">
        <v>0.87829784999868743</v>
      </c>
      <c r="G553">
        <v>0.84685793812225674</v>
      </c>
      <c r="H553">
        <v>0.83635961027457928</v>
      </c>
      <c r="I553">
        <v>0.8259437399795948</v>
      </c>
      <c r="J553">
        <v>0.84476793117421523</v>
      </c>
      <c r="K553">
        <v>0.67703280110514985</v>
      </c>
    </row>
    <row r="554" spans="1:11" x14ac:dyDescent="0.3">
      <c r="A554" s="1" t="str">
        <f>HYPERLINK("[.\tse_pressure_data\3035.xlsx]3035!$A268","﻿智原            ")</f>
        <v xml:space="preserve">﻿智原            </v>
      </c>
      <c r="B554">
        <v>0.42012191800494209</v>
      </c>
      <c r="C554">
        <v>0.44451197730895753</v>
      </c>
      <c r="D554">
        <v>0.38909937070415573</v>
      </c>
      <c r="E554">
        <v>0.49373447770804296</v>
      </c>
      <c r="F554">
        <v>0.64840169757878596</v>
      </c>
      <c r="G554">
        <v>0.57187458562869919</v>
      </c>
      <c r="H554">
        <v>0.86256723127558799</v>
      </c>
      <c r="I554">
        <v>0.84829273718162612</v>
      </c>
      <c r="J554">
        <v>0.92191555412305548</v>
      </c>
      <c r="K554">
        <v>0.93815255471920633</v>
      </c>
    </row>
    <row r="555" spans="1:11" x14ac:dyDescent="0.3">
      <c r="A555" s="1" t="str">
        <f>HYPERLINK("[.\tse_pressure_data\3036.xlsx]3036!$A268","﻿文曄            ")</f>
        <v xml:space="preserve">﻿文曄            </v>
      </c>
      <c r="B555">
        <v>0.85716070201736305</v>
      </c>
      <c r="C555">
        <v>0.81376015881878527</v>
      </c>
      <c r="D555">
        <v>0.81817010309278349</v>
      </c>
      <c r="E555">
        <v>0.81638078359389832</v>
      </c>
      <c r="F555">
        <v>0.77452443118239467</v>
      </c>
      <c r="G555">
        <v>0.76425066062665159</v>
      </c>
      <c r="H555">
        <v>0.84038852792544461</v>
      </c>
      <c r="I555">
        <v>0.78620734146184112</v>
      </c>
      <c r="J555">
        <v>0.76615746180963573</v>
      </c>
      <c r="K555">
        <v>0.85254355400696868</v>
      </c>
    </row>
    <row r="556" spans="1:11" x14ac:dyDescent="0.3">
      <c r="A556" s="1" t="str">
        <f>HYPERLINK("[.\tse_pressure_data\3037.xlsx]3037!$A268","﻿欣興            ")</f>
        <v xml:space="preserve">﻿欣興            </v>
      </c>
      <c r="B556">
        <v>0.73873977168059746</v>
      </c>
      <c r="C556">
        <v>0.88686840009527679</v>
      </c>
      <c r="D556">
        <v>0.76513678760651904</v>
      </c>
      <c r="E556">
        <v>0.92766366396350575</v>
      </c>
      <c r="F556">
        <v>0.76125160871140651</v>
      </c>
      <c r="G556">
        <v>1.1018243758124524</v>
      </c>
      <c r="H556">
        <v>1.096885278671246</v>
      </c>
      <c r="I556">
        <v>1.2104956126491822</v>
      </c>
      <c r="J556">
        <v>1.0907968920927884</v>
      </c>
      <c r="K556">
        <v>1.0611430009583087</v>
      </c>
    </row>
    <row r="557" spans="1:11" x14ac:dyDescent="0.3">
      <c r="A557" s="1" t="str">
        <f>HYPERLINK("[.\tse_pressure_data\3038.xlsx]3038!$A268","﻿全台            ")</f>
        <v xml:space="preserve">﻿全台            </v>
      </c>
      <c r="B557">
        <v>1.1755485893416928</v>
      </c>
      <c r="C557">
        <v>1.1780081117620549</v>
      </c>
      <c r="D557">
        <v>1.1655579074690052</v>
      </c>
      <c r="E557">
        <v>1.1288352695859398</v>
      </c>
      <c r="F557">
        <v>1.0995054698036866</v>
      </c>
      <c r="G557">
        <v>1.042540261318748</v>
      </c>
      <c r="H557">
        <v>1.0719214844349025</v>
      </c>
      <c r="I557">
        <v>0.97327800829875522</v>
      </c>
      <c r="J557">
        <v>0.94050121261115605</v>
      </c>
      <c r="K557">
        <v>0.93204196933010497</v>
      </c>
    </row>
    <row r="558" spans="1:11" x14ac:dyDescent="0.3">
      <c r="A558" s="1" t="str">
        <f>HYPERLINK("[.\tse_pressure_data\3040.xlsx]3040!$A268","﻿遠見            ")</f>
        <v xml:space="preserve">﻿遠見            </v>
      </c>
      <c r="B558">
        <v>0.75738975932805686</v>
      </c>
      <c r="C558">
        <v>0.746668833279168</v>
      </c>
      <c r="D558">
        <v>0.77084365197292393</v>
      </c>
      <c r="E558">
        <v>0.76082862523540484</v>
      </c>
      <c r="F558">
        <v>0.75930351655855244</v>
      </c>
      <c r="G558">
        <v>0.72761449077238549</v>
      </c>
      <c r="H558">
        <v>0.73724534215566773</v>
      </c>
      <c r="I558">
        <v>0.72236416283427018</v>
      </c>
      <c r="J558">
        <v>0.72578444747612547</v>
      </c>
      <c r="K558">
        <v>0.74574613729708583</v>
      </c>
    </row>
    <row r="559" spans="1:11" x14ac:dyDescent="0.3">
      <c r="A559" s="1" t="str">
        <f>HYPERLINK("[.\tse_pressure_data\3041.xlsx]3041!$A268","﻿揚智            ")</f>
        <v xml:space="preserve">﻿揚智            </v>
      </c>
      <c r="B559">
        <v>0.88834853994244545</v>
      </c>
      <c r="C559">
        <v>0.91302378255945638</v>
      </c>
      <c r="D559">
        <v>0.86538106235565815</v>
      </c>
      <c r="E559">
        <v>0.79619030175374328</v>
      </c>
      <c r="F559">
        <v>0.71315480385247831</v>
      </c>
      <c r="G559">
        <v>0.80715953805304075</v>
      </c>
      <c r="H559">
        <v>0.83708688699360345</v>
      </c>
      <c r="I559">
        <v>0.77204056291390732</v>
      </c>
      <c r="J559">
        <v>0.76162208800690245</v>
      </c>
      <c r="K559">
        <v>0.74941659005728023</v>
      </c>
    </row>
    <row r="560" spans="1:11" x14ac:dyDescent="0.3">
      <c r="A560" s="1" t="str">
        <f>HYPERLINK("[.\tse_pressure_data\3042.xlsx]3042!$A268","﻿晶技            ")</f>
        <v xml:space="preserve">﻿晶技            </v>
      </c>
      <c r="B560">
        <v>0.88521892447840145</v>
      </c>
      <c r="C560">
        <v>0.9045214045214045</v>
      </c>
      <c r="D560">
        <v>0.87148931073716984</v>
      </c>
      <c r="E560">
        <v>0.83183977867324232</v>
      </c>
      <c r="F560">
        <v>0.78371912195705484</v>
      </c>
      <c r="G560">
        <v>0.71065746022215548</v>
      </c>
      <c r="H560">
        <v>0.72561088200898627</v>
      </c>
      <c r="I560">
        <v>0.71852083986211224</v>
      </c>
      <c r="J560">
        <v>0.63913155190133608</v>
      </c>
      <c r="K560">
        <v>0.58257872685498036</v>
      </c>
    </row>
    <row r="561" spans="1:11" x14ac:dyDescent="0.3">
      <c r="A561" s="1" t="str">
        <f>HYPERLINK("[.\tse_pressure_data\3043.xlsx]3043!$A268","﻿科風            ")</f>
        <v xml:space="preserve">﻿科風            </v>
      </c>
      <c r="B561">
        <v>1.0553037171350861</v>
      </c>
      <c r="C561">
        <v>1.0105170902716916</v>
      </c>
      <c r="D561">
        <v>0.99395509499136447</v>
      </c>
      <c r="E561">
        <v>1.1808510638297873</v>
      </c>
      <c r="F561">
        <v>1.15625</v>
      </c>
      <c r="G561">
        <v>1.1810035842293907</v>
      </c>
      <c r="H561">
        <v>1.2016728624535316</v>
      </c>
      <c r="I561">
        <v>1.1864077669902913</v>
      </c>
      <c r="J561">
        <v>1.1671858774662514</v>
      </c>
      <c r="K561">
        <v>1.1666666666666667</v>
      </c>
    </row>
    <row r="562" spans="1:11" x14ac:dyDescent="0.3">
      <c r="A562" s="1" t="str">
        <f>HYPERLINK("[.\tse_pressure_data\3044.xlsx]3044!$A268","﻿健鼎            ")</f>
        <v xml:space="preserve">﻿健鼎            </v>
      </c>
      <c r="B562">
        <v>1.0980629539951574</v>
      </c>
      <c r="C562">
        <v>1.0898740858026088</v>
      </c>
      <c r="D562">
        <v>0.85225505443234839</v>
      </c>
      <c r="E562">
        <v>0.86904487917146145</v>
      </c>
      <c r="F562">
        <v>0.85367912222818998</v>
      </c>
      <c r="G562">
        <v>0.82793709528214621</v>
      </c>
      <c r="H562">
        <v>0.88399518652226239</v>
      </c>
      <c r="I562">
        <v>0.78865559895833337</v>
      </c>
      <c r="J562">
        <v>0.91019028988084649</v>
      </c>
      <c r="K562">
        <v>0.96374727668845317</v>
      </c>
    </row>
    <row r="563" spans="1:11" x14ac:dyDescent="0.3">
      <c r="A563" s="1" t="str">
        <f>HYPERLINK("[.\tse_pressure_data\3045.xlsx]3045!$A268","﻿台灣大          ")</f>
        <v xml:space="preserve">﻿台灣大          </v>
      </c>
      <c r="B563">
        <v>0.8275667392531656</v>
      </c>
      <c r="C563">
        <v>0.8280260855734054</v>
      </c>
      <c r="D563">
        <v>0.74603407110108544</v>
      </c>
      <c r="E563">
        <v>0.84295425909104227</v>
      </c>
      <c r="F563">
        <v>0.82227561050642373</v>
      </c>
      <c r="G563">
        <v>0.79779289142823995</v>
      </c>
      <c r="H563">
        <v>0.87140054806007694</v>
      </c>
      <c r="I563">
        <v>0.8337588487872809</v>
      </c>
      <c r="J563">
        <v>0.83640724033575053</v>
      </c>
      <c r="K563">
        <v>0.90926232457718603</v>
      </c>
    </row>
    <row r="564" spans="1:11" x14ac:dyDescent="0.3">
      <c r="A564" s="1" t="str">
        <f>HYPERLINK("[.\tse_pressure_data\3046.xlsx]3046!$A268","﻿建碁            ")</f>
        <v xml:space="preserve">﻿建碁            </v>
      </c>
      <c r="B564">
        <v>0.87012987012987009</v>
      </c>
      <c r="C564">
        <v>1.6076555023923444</v>
      </c>
      <c r="D564">
        <v>1.6553398058252426</v>
      </c>
      <c r="E564">
        <v>1.5852534562211982</v>
      </c>
      <c r="F564">
        <v>1.5714285714285714</v>
      </c>
      <c r="G564">
        <v>1.5947136563876652</v>
      </c>
      <c r="H564">
        <v>1.5294117647058822</v>
      </c>
      <c r="I564">
        <v>1.5765765765765767</v>
      </c>
      <c r="J564">
        <v>1.592760180995475</v>
      </c>
      <c r="K564">
        <v>1.6481481481481481</v>
      </c>
    </row>
    <row r="565" spans="1:11" x14ac:dyDescent="0.3">
      <c r="A565" s="1" t="str">
        <f>HYPERLINK("[.\tse_pressure_data\3047.xlsx]3047!$A268","﻿訊舟            ")</f>
        <v xml:space="preserve">﻿訊舟            </v>
      </c>
      <c r="B565">
        <v>0.86565731954366132</v>
      </c>
      <c r="C565">
        <v>0.85709762532981526</v>
      </c>
      <c r="D565">
        <v>0.84344443276206493</v>
      </c>
      <c r="E565">
        <v>0.86111996599723728</v>
      </c>
      <c r="F565">
        <v>0.86879241624474846</v>
      </c>
      <c r="G565">
        <v>0.86436458107815539</v>
      </c>
      <c r="H565">
        <v>0.88111196571805295</v>
      </c>
      <c r="I565">
        <v>0.86183093810116551</v>
      </c>
      <c r="J565">
        <v>0.80542778288868444</v>
      </c>
      <c r="K565">
        <v>0.77502903600464579</v>
      </c>
    </row>
    <row r="566" spans="1:11" x14ac:dyDescent="0.3">
      <c r="A566" s="1" t="str">
        <f>HYPERLINK("[.\tse_pressure_data\3048.xlsx]3048!$A268","﻿益登            ")</f>
        <v xml:space="preserve">﻿益登            </v>
      </c>
      <c r="B566">
        <v>0.92195199491336832</v>
      </c>
      <c r="C566">
        <v>0.91668768125078803</v>
      </c>
      <c r="D566">
        <v>0.94446936682901816</v>
      </c>
      <c r="E566">
        <v>0.8809690119380239</v>
      </c>
      <c r="F566">
        <v>0.87310480169657834</v>
      </c>
      <c r="G566">
        <v>0.82477031915234167</v>
      </c>
      <c r="H566">
        <v>0.98345153664302598</v>
      </c>
      <c r="I566">
        <v>0.97477639309906061</v>
      </c>
      <c r="J566">
        <v>0.98390090533732333</v>
      </c>
      <c r="K566">
        <v>1.0150511739915713</v>
      </c>
    </row>
    <row r="567" spans="1:11" x14ac:dyDescent="0.3">
      <c r="A567" s="1" t="str">
        <f>HYPERLINK("[.\tse_pressure_data\3049.xlsx]3049!$A268","﻿和鑫            ")</f>
        <v xml:space="preserve">﻿和鑫            </v>
      </c>
      <c r="B567">
        <v>1.4107660455486541</v>
      </c>
      <c r="C567">
        <v>1.3557100615360025</v>
      </c>
      <c r="D567">
        <v>1.2562042070432522</v>
      </c>
      <c r="E567">
        <v>1.1824839792493134</v>
      </c>
      <c r="F567">
        <v>1.156592783115213</v>
      </c>
      <c r="G567">
        <v>1.0771555958588377</v>
      </c>
      <c r="H567">
        <v>1.2191726014243418</v>
      </c>
      <c r="I567">
        <v>1.3063530593454424</v>
      </c>
      <c r="J567">
        <v>1.2258330583965689</v>
      </c>
      <c r="K567">
        <v>1.2585974376264328</v>
      </c>
    </row>
    <row r="568" spans="1:11" x14ac:dyDescent="0.3">
      <c r="A568" s="1" t="str">
        <f>HYPERLINK("[.\tse_pressure_data\3050.xlsx]3050!$A268","﻿鈺德            ")</f>
        <v xml:space="preserve">﻿鈺德            </v>
      </c>
      <c r="B568">
        <v>1.2855951329604554</v>
      </c>
      <c r="C568">
        <v>1.2737574646165422</v>
      </c>
      <c r="D568">
        <v>1.2169991165666991</v>
      </c>
      <c r="E568">
        <v>1.1859644233895315</v>
      </c>
      <c r="F568">
        <v>1.2007511917946743</v>
      </c>
      <c r="G568">
        <v>1.0130646701170796</v>
      </c>
      <c r="H568">
        <v>1.1520623455616803</v>
      </c>
      <c r="I568">
        <v>1.23115114547131</v>
      </c>
      <c r="J568">
        <v>1.1872948727299248</v>
      </c>
      <c r="K568">
        <v>0.45178943710910352</v>
      </c>
    </row>
    <row r="569" spans="1:11" x14ac:dyDescent="0.3">
      <c r="A569" s="1" t="str">
        <f>HYPERLINK("[.\tse_pressure_data\3051.xlsx]3051!$A268","﻿力特            ")</f>
        <v xml:space="preserve">﻿力特            </v>
      </c>
      <c r="B569">
        <v>1.8888385269121812</v>
      </c>
      <c r="C569">
        <v>1.9034459610651153</v>
      </c>
      <c r="D569">
        <v>1.5550277918140476</v>
      </c>
      <c r="E569">
        <v>1.4897582758955441</v>
      </c>
      <c r="F569">
        <v>1.4134376438104004</v>
      </c>
      <c r="G569">
        <v>1.2746023856858848</v>
      </c>
      <c r="H569">
        <v>1.3812967376119649</v>
      </c>
      <c r="I569">
        <v>1.6267078724788548</v>
      </c>
      <c r="J569">
        <v>0.9363415817564289</v>
      </c>
      <c r="K569">
        <v>0.75233152217987187</v>
      </c>
    </row>
    <row r="570" spans="1:11" x14ac:dyDescent="0.3">
      <c r="A570" s="1" t="str">
        <f>HYPERLINK("[.\tse_pressure_data\3052.xlsx]3052!$A268","﻿夆典            ")</f>
        <v xml:space="preserve">﻿夆典            </v>
      </c>
      <c r="B570">
        <v>1.2572586090479405</v>
      </c>
      <c r="C570">
        <v>1.1886567164179105</v>
      </c>
      <c r="D570">
        <v>1.2015643802647413</v>
      </c>
      <c r="E570">
        <v>1.230952380952381</v>
      </c>
      <c r="F570">
        <v>1.1777389277389276</v>
      </c>
      <c r="G570">
        <v>1.0378674638764325</v>
      </c>
      <c r="H570">
        <v>1.0110206037374221</v>
      </c>
      <c r="I570">
        <v>1.0066634935744883</v>
      </c>
      <c r="J570">
        <v>0.943342776203966</v>
      </c>
      <c r="K570">
        <v>0.89793103448275857</v>
      </c>
    </row>
    <row r="571" spans="1:11" x14ac:dyDescent="0.3">
      <c r="A571" s="1" t="str">
        <f>HYPERLINK("[.\tse_pressure_data\3054.xlsx]3054!$A268","﻿立萬利          ")</f>
        <v xml:space="preserve">﻿立萬利          </v>
      </c>
      <c r="B571">
        <v>0.66090651558073654</v>
      </c>
      <c r="C571">
        <v>0.6556365675827257</v>
      </c>
      <c r="D571">
        <v>0.63289937618660153</v>
      </c>
      <c r="E571">
        <v>0.59714247563092537</v>
      </c>
      <c r="F571">
        <v>0.59928591046415824</v>
      </c>
      <c r="G571">
        <v>0.51224517717882068</v>
      </c>
      <c r="H571">
        <v>0.51552346570397112</v>
      </c>
      <c r="I571">
        <v>0.53316288163633629</v>
      </c>
      <c r="J571">
        <v>0.48775445292620867</v>
      </c>
      <c r="K571">
        <v>0.45383993532740502</v>
      </c>
    </row>
    <row r="572" spans="1:11" x14ac:dyDescent="0.3">
      <c r="A572" s="1" t="str">
        <f>HYPERLINK("[.\tse_pressure_data\3055.xlsx]3055!$A268","﻿蔚華科          ")</f>
        <v xml:space="preserve">﻿蔚華科          </v>
      </c>
      <c r="B572">
        <v>0.80082224609536401</v>
      </c>
      <c r="C572">
        <v>0.97735708982925018</v>
      </c>
      <c r="D572">
        <v>0.84864112217007892</v>
      </c>
      <c r="E572">
        <v>0.59100029362826656</v>
      </c>
      <c r="F572">
        <v>0.60498914193440612</v>
      </c>
      <c r="G572">
        <v>0.6173517366904292</v>
      </c>
      <c r="H572">
        <v>0.61566142773659771</v>
      </c>
      <c r="I572">
        <v>0.57870225667312625</v>
      </c>
      <c r="J572">
        <v>0.71288593085598073</v>
      </c>
      <c r="K572">
        <v>0.69499597296634796</v>
      </c>
    </row>
    <row r="573" spans="1:11" x14ac:dyDescent="0.3">
      <c r="A573" s="1" t="str">
        <f>HYPERLINK("[.\tse_pressure_data\3056.xlsx]3056!$A268","﻿總太            ")</f>
        <v xml:space="preserve">﻿總太            </v>
      </c>
      <c r="B573">
        <v>1.1532243248208709</v>
      </c>
      <c r="C573">
        <v>1.10871044572984</v>
      </c>
      <c r="D573">
        <v>0.8906118439517261</v>
      </c>
      <c r="E573">
        <v>0.90738405492503849</v>
      </c>
      <c r="F573">
        <v>0.87168288002117666</v>
      </c>
      <c r="G573">
        <v>0.83218854370155648</v>
      </c>
      <c r="H573">
        <v>0.84793993311880878</v>
      </c>
      <c r="I573">
        <v>0.79859938723191393</v>
      </c>
      <c r="J573">
        <v>0.73178807947019864</v>
      </c>
      <c r="K573">
        <v>0.70304007644985966</v>
      </c>
    </row>
    <row r="574" spans="1:11" x14ac:dyDescent="0.3">
      <c r="A574" s="1" t="str">
        <f>HYPERLINK("[.\tse_pressure_data\3057.xlsx]3057!$A268","﻿喬鼎            ")</f>
        <v xml:space="preserve">﻿喬鼎            </v>
      </c>
      <c r="B574">
        <v>1.3318068276436303</v>
      </c>
      <c r="C574">
        <v>1.2190332326283988</v>
      </c>
      <c r="D574">
        <v>1.3982581155977831</v>
      </c>
      <c r="E574">
        <v>1.4601375961149332</v>
      </c>
      <c r="F574">
        <v>1.4940255459414915</v>
      </c>
      <c r="G574">
        <v>1.5249784668389319</v>
      </c>
      <c r="H574">
        <v>1.7524457677584007</v>
      </c>
      <c r="I574">
        <v>1.3705790297339593</v>
      </c>
      <c r="J574">
        <v>0.57140768893436633</v>
      </c>
      <c r="K574">
        <v>0.56170955080680329</v>
      </c>
    </row>
    <row r="575" spans="1:11" x14ac:dyDescent="0.3">
      <c r="A575" s="1" t="str">
        <f>HYPERLINK("[.\tse_pressure_data\3058.xlsx]3058!$A268","﻿立德            ")</f>
        <v xml:space="preserve">﻿立德            </v>
      </c>
      <c r="B575">
        <v>0.81800911854103342</v>
      </c>
      <c r="C575">
        <v>0.79642058165548102</v>
      </c>
      <c r="D575">
        <v>0.74990778310586503</v>
      </c>
      <c r="E575">
        <v>0.73667029379760607</v>
      </c>
      <c r="F575">
        <v>0.70229555236728836</v>
      </c>
      <c r="G575">
        <v>0.74031148134733793</v>
      </c>
      <c r="H575">
        <v>0.75374497625137016</v>
      </c>
      <c r="I575">
        <v>0.74568173465637633</v>
      </c>
      <c r="J575">
        <v>0.73135464231354641</v>
      </c>
      <c r="K575">
        <v>0.72010562052055826</v>
      </c>
    </row>
    <row r="576" spans="1:11" x14ac:dyDescent="0.3">
      <c r="A576" s="1" t="str">
        <f>HYPERLINK("[.\tse_pressure_data\3059.xlsx]3059!$A268","﻿華晶科          ")</f>
        <v xml:space="preserve">﻿華晶科          </v>
      </c>
      <c r="B576">
        <v>0.94787216005425567</v>
      </c>
      <c r="C576">
        <v>0.91115532713592939</v>
      </c>
      <c r="D576">
        <v>0.87536876072668601</v>
      </c>
      <c r="E576">
        <v>0.89802004871500118</v>
      </c>
      <c r="F576">
        <v>0.89814070151690095</v>
      </c>
      <c r="G576">
        <v>0.90334941699967941</v>
      </c>
      <c r="H576">
        <v>0.9108603942410185</v>
      </c>
      <c r="I576">
        <v>0.89495225102319231</v>
      </c>
      <c r="J576">
        <v>0.91368132232867927</v>
      </c>
      <c r="K576">
        <v>0.92310323799324734</v>
      </c>
    </row>
    <row r="577" spans="1:11" x14ac:dyDescent="0.3">
      <c r="A577" s="1" t="str">
        <f>HYPERLINK("[.\tse_pressure_data\3060.xlsx]3060!$A268","﻿銘異            ")</f>
        <v xml:space="preserve">﻿銘異            </v>
      </c>
      <c r="B577">
        <v>1.7048218029350104</v>
      </c>
      <c r="C577">
        <v>1.5050429585356742</v>
      </c>
      <c r="D577">
        <v>1.3612832664965366</v>
      </c>
      <c r="E577">
        <v>1.3658627087198516</v>
      </c>
      <c r="F577">
        <v>1.3177466863033873</v>
      </c>
      <c r="G577">
        <v>1.3778713629402757</v>
      </c>
      <c r="H577">
        <v>1.4478961856075501</v>
      </c>
      <c r="I577">
        <v>1.4391513210568454</v>
      </c>
      <c r="J577">
        <v>1.386390768006367</v>
      </c>
      <c r="K577">
        <v>1.224834680382072</v>
      </c>
    </row>
    <row r="578" spans="1:11" x14ac:dyDescent="0.3">
      <c r="A578" s="1" t="str">
        <f>HYPERLINK("[.\tse_pressure_data\3062.xlsx]3062!$A268","﻿建漢            ")</f>
        <v xml:space="preserve">﻿建漢            </v>
      </c>
      <c r="B578">
        <v>0.85683875766202455</v>
      </c>
      <c r="C578">
        <v>0.88561492925592633</v>
      </c>
      <c r="D578">
        <v>0.85634206752704989</v>
      </c>
      <c r="E578">
        <v>0.86080092922573326</v>
      </c>
      <c r="F578">
        <v>0.80437003851292932</v>
      </c>
      <c r="G578">
        <v>0.78060740272065798</v>
      </c>
      <c r="H578">
        <v>0.78074267587236423</v>
      </c>
      <c r="I578">
        <v>0.76254800333002126</v>
      </c>
      <c r="J578">
        <v>0.74283843509576031</v>
      </c>
      <c r="K578">
        <v>0.72554986858486648</v>
      </c>
    </row>
    <row r="579" spans="1:11" x14ac:dyDescent="0.3">
      <c r="A579" s="1" t="str">
        <f>HYPERLINK("[.\tse_pressure_data\3090.xlsx]3090!$A268","﻿日電貿          ")</f>
        <v xml:space="preserve">﻿日電貿          </v>
      </c>
      <c r="B579">
        <v>1.4032369362022459</v>
      </c>
      <c r="C579">
        <v>1.5042558425584256</v>
      </c>
      <c r="D579">
        <v>0.89610466318183157</v>
      </c>
      <c r="E579">
        <v>0.84827316418911369</v>
      </c>
      <c r="F579">
        <v>0.84207139659803043</v>
      </c>
      <c r="G579">
        <v>0.83400260322911191</v>
      </c>
      <c r="H579">
        <v>0.87129570147752977</v>
      </c>
      <c r="I579">
        <v>0.88355710260235376</v>
      </c>
      <c r="J579">
        <v>0.89204043305346881</v>
      </c>
      <c r="K579">
        <v>0.90812030488979389</v>
      </c>
    </row>
    <row r="580" spans="1:11" x14ac:dyDescent="0.3">
      <c r="A580" s="1" t="str">
        <f>HYPERLINK("[.\tse_pressure_data\3094.xlsx]3094!$A268","﻿聯傑            ")</f>
        <v xml:space="preserve">﻿聯傑            </v>
      </c>
      <c r="B580">
        <v>1.4153560194452388</v>
      </c>
      <c r="C580">
        <v>1.3949349760438057</v>
      </c>
      <c r="D580">
        <v>1.0376423062798383</v>
      </c>
      <c r="E580">
        <v>1.2143577108298802</v>
      </c>
      <c r="F580">
        <v>1.1930164888457808</v>
      </c>
      <c r="G580">
        <v>1.2291037784948475</v>
      </c>
      <c r="H580">
        <v>1.1362421233530646</v>
      </c>
      <c r="I580">
        <v>1.2467307692307692</v>
      </c>
      <c r="J580">
        <v>1.1961514587212911</v>
      </c>
      <c r="K580">
        <v>1.1170310350099373</v>
      </c>
    </row>
    <row r="581" spans="1:11" x14ac:dyDescent="0.3">
      <c r="A581" s="1" t="str">
        <f>HYPERLINK("[.\tse_pressure_data\3130.xlsx]3130!$A268","﻿一零四          ")</f>
        <v xml:space="preserve">﻿一零四          </v>
      </c>
      <c r="B581">
        <v>0.60555555555555551</v>
      </c>
      <c r="C581">
        <v>0.66666666666666663</v>
      </c>
      <c r="D581">
        <v>0.6428571428571429</v>
      </c>
      <c r="E581">
        <v>0.63636363636363635</v>
      </c>
      <c r="F581">
        <v>0.52046783625730997</v>
      </c>
      <c r="G581">
        <v>0.48255813953488375</v>
      </c>
      <c r="H581">
        <v>0.49707602339181284</v>
      </c>
      <c r="I581">
        <v>0.36</v>
      </c>
      <c r="J581">
        <v>0.39240506329113922</v>
      </c>
      <c r="K581">
        <v>0.40714285714285714</v>
      </c>
    </row>
    <row r="582" spans="1:11" x14ac:dyDescent="0.3">
      <c r="A582" s="1" t="str">
        <f>HYPERLINK("[.\tse_pressure_data\3149.xlsx]3149!$A268","﻿正達            ")</f>
        <v xml:space="preserve">﻿正達            </v>
      </c>
      <c r="B582">
        <v>1.5272969374167775</v>
      </c>
      <c r="C582">
        <v>1.2285375962107756</v>
      </c>
      <c r="D582">
        <v>1.2654946364719906</v>
      </c>
      <c r="E582">
        <v>1.2782136391068195</v>
      </c>
      <c r="F582">
        <v>1.1825750817722271</v>
      </c>
      <c r="G582">
        <v>1.1314112291350531</v>
      </c>
      <c r="H582">
        <v>1.1456851221775441</v>
      </c>
      <c r="I582">
        <v>1.1642358909321497</v>
      </c>
      <c r="J582">
        <v>1.1070192005036197</v>
      </c>
      <c r="K582">
        <v>1.1968687541638907</v>
      </c>
    </row>
    <row r="583" spans="1:11" x14ac:dyDescent="0.3">
      <c r="A583" s="1" t="str">
        <f>HYPERLINK("[.\tse_pressure_data\3164.xlsx]3164!$A268","﻿景岳            ")</f>
        <v xml:space="preserve">﻿景岳            </v>
      </c>
      <c r="B583">
        <v>0.66750287446430434</v>
      </c>
      <c r="C583">
        <v>0.64774624373956591</v>
      </c>
      <c r="D583">
        <v>0.63486910994764401</v>
      </c>
      <c r="E583">
        <v>0.61415596617600998</v>
      </c>
      <c r="F583">
        <v>0.61875131828728114</v>
      </c>
      <c r="G583">
        <v>0.61739963795122987</v>
      </c>
      <c r="H583">
        <v>0.5859865828985199</v>
      </c>
      <c r="I583">
        <v>0.53016007632778539</v>
      </c>
      <c r="J583">
        <v>0.49348675640468953</v>
      </c>
      <c r="K583">
        <v>0.45748738771994585</v>
      </c>
    </row>
    <row r="584" spans="1:11" x14ac:dyDescent="0.3">
      <c r="A584" s="1" t="str">
        <f>HYPERLINK("[.\tse_pressure_data\3167.xlsx]3167!$A268","﻿大量            ")</f>
        <v xml:space="preserve">﻿大量            </v>
      </c>
      <c r="B584">
        <v>1.0750079457569657</v>
      </c>
      <c r="C584">
        <v>1.3588940776905116</v>
      </c>
      <c r="D584">
        <v>1.1889793962625779</v>
      </c>
      <c r="E584">
        <v>1.2120536795697883</v>
      </c>
      <c r="F584">
        <v>1.1869705910345485</v>
      </c>
      <c r="G584">
        <v>1.1471619444707666</v>
      </c>
      <c r="H584">
        <v>1.1900743227043875</v>
      </c>
      <c r="I584">
        <v>1.1220526367283046</v>
      </c>
      <c r="J584">
        <v>1.2938796155791603</v>
      </c>
      <c r="K584">
        <v>1.3834036568213783</v>
      </c>
    </row>
    <row r="585" spans="1:11" x14ac:dyDescent="0.3">
      <c r="A585" s="1" t="str">
        <f>HYPERLINK("[.\tse_pressure_data\3189.xlsx]3189!$A268","﻿景碩            ")</f>
        <v xml:space="preserve">﻿景碩            </v>
      </c>
      <c r="B585">
        <v>1.3070712793456323</v>
      </c>
      <c r="C585">
        <v>1.1264431195506082</v>
      </c>
      <c r="D585">
        <v>1.2508718993690975</v>
      </c>
      <c r="E585">
        <v>1.1627572094433287</v>
      </c>
      <c r="F585">
        <v>1.0995890655708416</v>
      </c>
      <c r="G585">
        <v>1.4599480407014505</v>
      </c>
      <c r="H585">
        <v>1.4358893446933838</v>
      </c>
      <c r="I585">
        <v>1.3766246953696182</v>
      </c>
      <c r="J585">
        <v>1.3601141514184993</v>
      </c>
      <c r="K585">
        <v>1.4165483194698045</v>
      </c>
    </row>
    <row r="586" spans="1:11" x14ac:dyDescent="0.3">
      <c r="A586" s="1" t="str">
        <f>HYPERLINK("[.\tse_pressure_data\3209.xlsx]3209!$A268","﻿全科            ")</f>
        <v xml:space="preserve">﻿全科            </v>
      </c>
      <c r="B586">
        <v>1.0968266883645239</v>
      </c>
      <c r="C586">
        <v>0.96741491672700941</v>
      </c>
      <c r="D586">
        <v>0.94397463002114168</v>
      </c>
      <c r="E586">
        <v>0.7853466545564638</v>
      </c>
      <c r="F586">
        <v>0.81468110709987962</v>
      </c>
      <c r="G586">
        <v>0.84842463809253477</v>
      </c>
      <c r="H586">
        <v>1.1906047516198703</v>
      </c>
      <c r="I586">
        <v>1.2719298245614035</v>
      </c>
      <c r="J586">
        <v>1.2043774031351671</v>
      </c>
      <c r="K586">
        <v>1.2035024154589371</v>
      </c>
    </row>
    <row r="587" spans="1:11" x14ac:dyDescent="0.3">
      <c r="A587" s="1" t="str">
        <f>HYPERLINK("[.\tse_pressure_data\3229.xlsx]3229!$A268","﻿晟鈦            ")</f>
        <v xml:space="preserve">﻿晟鈦            </v>
      </c>
      <c r="B587">
        <v>1.1879279736241442</v>
      </c>
      <c r="C587">
        <v>1.1863636363636363</v>
      </c>
      <c r="D587">
        <v>1.1786072144288577</v>
      </c>
      <c r="E587">
        <v>1.1986336032388665</v>
      </c>
      <c r="F587">
        <v>1.1162444113263785</v>
      </c>
      <c r="G587">
        <v>1.0477791116446578</v>
      </c>
      <c r="H587">
        <v>0.98748228625413326</v>
      </c>
      <c r="I587">
        <v>0.93433749117439402</v>
      </c>
      <c r="J587">
        <v>1.0352631578947369</v>
      </c>
      <c r="K587">
        <v>0.60791460557146582</v>
      </c>
    </row>
    <row r="588" spans="1:11" x14ac:dyDescent="0.3">
      <c r="A588" s="1" t="str">
        <f>HYPERLINK("[.\tse_pressure_data\3231.xlsx]3231!$A268","﻿緯創            ")</f>
        <v xml:space="preserve">﻿緯創            </v>
      </c>
      <c r="B588">
        <v>0.95712198221092759</v>
      </c>
      <c r="C588">
        <v>1.0027954681284501</v>
      </c>
      <c r="D588">
        <v>1.1180513061896917</v>
      </c>
      <c r="E588">
        <v>1.0365891809411929</v>
      </c>
      <c r="F588">
        <v>1.0035634829061191</v>
      </c>
      <c r="G588">
        <v>0.87216626199004732</v>
      </c>
      <c r="H588">
        <v>0.9741528038383559</v>
      </c>
      <c r="I588">
        <v>0.98977208944571105</v>
      </c>
      <c r="J588">
        <v>1.0825215422258021</v>
      </c>
      <c r="K588">
        <v>1.0963341067285384</v>
      </c>
    </row>
    <row r="589" spans="1:11" x14ac:dyDescent="0.3">
      <c r="A589" s="1" t="str">
        <f>HYPERLINK("[.\tse_pressure_data\3257.xlsx]3257!$A268","﻿虹冠電          ")</f>
        <v xml:space="preserve">﻿虹冠電          </v>
      </c>
      <c r="B589">
        <v>0.6311574328030719</v>
      </c>
      <c r="C589">
        <v>0.61048852137961052</v>
      </c>
      <c r="D589">
        <v>0.60116817280141066</v>
      </c>
      <c r="E589">
        <v>0.59335687486206135</v>
      </c>
      <c r="F589">
        <v>0.56960195686012893</v>
      </c>
      <c r="G589">
        <v>0.47998076229409642</v>
      </c>
      <c r="H589">
        <v>0.52931214174048979</v>
      </c>
      <c r="I589">
        <v>0.35524981897175961</v>
      </c>
      <c r="J589">
        <v>0.7837273991655076</v>
      </c>
      <c r="K589">
        <v>0.76784476784476785</v>
      </c>
    </row>
    <row r="590" spans="1:11" x14ac:dyDescent="0.3">
      <c r="A590" s="1" t="str">
        <f>HYPERLINK("[.\tse_pressure_data\3266.xlsx]3266!$A268","﻿昇陽            ")</f>
        <v xml:space="preserve">﻿昇陽            </v>
      </c>
      <c r="B590">
        <v>1.0841121495327102</v>
      </c>
      <c r="C590">
        <v>1.1198945981554678</v>
      </c>
      <c r="D590">
        <v>1.1496688741721854</v>
      </c>
      <c r="E590">
        <v>1.1762177650429799</v>
      </c>
      <c r="F590">
        <v>1.1369863013698631</v>
      </c>
      <c r="G590">
        <v>1.1352785145888593</v>
      </c>
      <c r="H590">
        <v>1.103861517976032</v>
      </c>
      <c r="I590">
        <v>1.5870165745856353</v>
      </c>
      <c r="J590">
        <v>1.4191810344827587</v>
      </c>
      <c r="K590">
        <v>1.4145021645021645</v>
      </c>
    </row>
    <row r="591" spans="1:11" x14ac:dyDescent="0.3">
      <c r="A591" s="1" t="str">
        <f>HYPERLINK("[.\tse_pressure_data\3296.xlsx]3296!$A268","﻿勝德            ")</f>
        <v xml:space="preserve">﻿勝德            </v>
      </c>
      <c r="B591">
        <v>0.98913043478260865</v>
      </c>
      <c r="C591">
        <v>1.05223315669947</v>
      </c>
      <c r="D591">
        <v>1.0553420445810915</v>
      </c>
      <c r="E591">
        <v>1.0341349883630722</v>
      </c>
      <c r="F591">
        <v>1.0251332825590251</v>
      </c>
      <c r="G591">
        <v>1.1415557112824106</v>
      </c>
      <c r="H591">
        <v>1.1518105849582172</v>
      </c>
      <c r="I591">
        <v>1.2248115147361207</v>
      </c>
      <c r="J591">
        <v>1.1993079584775086</v>
      </c>
      <c r="K591">
        <v>1.0720783764870538</v>
      </c>
    </row>
    <row r="592" spans="1:11" x14ac:dyDescent="0.3">
      <c r="A592" s="1" t="str">
        <f>HYPERLINK("[.\tse_pressure_data\3305.xlsx]3305!$A268","﻿昇貿            ")</f>
        <v xml:space="preserve">﻿昇貿            </v>
      </c>
      <c r="B592">
        <v>1.0800970873786409</v>
      </c>
      <c r="C592">
        <v>1.135036496350365</v>
      </c>
      <c r="D592">
        <v>1.0876350540216086</v>
      </c>
      <c r="E592">
        <v>1.1122194513715711</v>
      </c>
      <c r="F592">
        <v>1.1116564417177914</v>
      </c>
      <c r="G592">
        <v>1.0951792336217552</v>
      </c>
      <c r="H592">
        <v>1.0874384236453203</v>
      </c>
      <c r="I592">
        <v>1.0320197044334976</v>
      </c>
      <c r="J592">
        <v>0.96654719235364395</v>
      </c>
      <c r="K592">
        <v>0.84482758620689657</v>
      </c>
    </row>
    <row r="593" spans="1:11" x14ac:dyDescent="0.3">
      <c r="A593" s="1" t="str">
        <f>HYPERLINK("[.\tse_pressure_data\3308.xlsx]3308!$A268","﻿聯德            ")</f>
        <v xml:space="preserve">﻿聯德            </v>
      </c>
      <c r="B593">
        <v>0.72261715784388159</v>
      </c>
      <c r="C593">
        <v>0.69998610725201449</v>
      </c>
      <c r="D593">
        <v>0.67380699893955465</v>
      </c>
      <c r="E593">
        <v>0.55291541643013542</v>
      </c>
      <c r="F593">
        <v>0.6739993889398106</v>
      </c>
      <c r="G593">
        <v>0.64738378153012299</v>
      </c>
      <c r="H593">
        <v>0.73122434194638974</v>
      </c>
      <c r="I593">
        <v>0.67897608057070924</v>
      </c>
      <c r="J593">
        <v>0.70809848709581724</v>
      </c>
      <c r="K593">
        <v>0.72781684872063446</v>
      </c>
    </row>
    <row r="594" spans="1:11" x14ac:dyDescent="0.3">
      <c r="A594" s="1" t="str">
        <f>HYPERLINK("[.\tse_pressure_data\3311.xlsx]3311!$A268","﻿閎暉            ")</f>
        <v xml:space="preserve">﻿閎暉            </v>
      </c>
      <c r="B594">
        <v>1.1058435978229733</v>
      </c>
      <c r="C594">
        <v>1.1123125720876585</v>
      </c>
      <c r="D594">
        <v>1.0262474367737526</v>
      </c>
      <c r="E594">
        <v>0.95717288491854968</v>
      </c>
      <c r="F594">
        <v>1.1165531209721966</v>
      </c>
      <c r="G594">
        <v>1.0837234425639179</v>
      </c>
      <c r="H594">
        <v>1.1449354428077831</v>
      </c>
      <c r="I594">
        <v>1.1237224314147392</v>
      </c>
      <c r="J594">
        <v>1.0938046902345118</v>
      </c>
      <c r="K594">
        <v>1.0476124375347029</v>
      </c>
    </row>
    <row r="595" spans="1:11" x14ac:dyDescent="0.3">
      <c r="A595" s="1" t="str">
        <f>HYPERLINK("[.\tse_pressure_data\3312.xlsx]3312!$A268","﻿弘憶股          ")</f>
        <v xml:space="preserve">﻿弘憶股          </v>
      </c>
      <c r="B595">
        <v>1.2041216879293426</v>
      </c>
      <c r="C595">
        <v>1.2267732267732268</v>
      </c>
      <c r="D595">
        <v>0.95137254901960788</v>
      </c>
      <c r="E595">
        <v>0.86842105263157898</v>
      </c>
      <c r="F595">
        <v>0.84638783269961981</v>
      </c>
      <c r="G595">
        <v>0.83873456790123457</v>
      </c>
      <c r="H595">
        <v>0.83155487804878048</v>
      </c>
      <c r="I595">
        <v>0.81689029202841357</v>
      </c>
      <c r="J595">
        <v>0.88161434977578479</v>
      </c>
      <c r="K595">
        <v>0.85348631950573695</v>
      </c>
    </row>
    <row r="596" spans="1:11" x14ac:dyDescent="0.3">
      <c r="A596" s="1" t="str">
        <f>HYPERLINK("[.\tse_pressure_data\3315.xlsx]3315!$A268","﻿宣昶            ")</f>
        <v xml:space="preserve">﻿宣昶            </v>
      </c>
      <c r="B596">
        <v>0.85052631578947369</v>
      </c>
      <c r="C596">
        <v>0.44956268221574341</v>
      </c>
      <c r="D596">
        <v>0.53382716049382717</v>
      </c>
      <c r="E596">
        <v>0.75784753363228696</v>
      </c>
      <c r="F596">
        <v>0.79033649698015529</v>
      </c>
      <c r="G596">
        <v>0.79690764730463848</v>
      </c>
      <c r="H596">
        <v>0.78176919622810959</v>
      </c>
      <c r="I596">
        <v>0.7770642201834862</v>
      </c>
      <c r="J596">
        <v>0.77828467153284675</v>
      </c>
      <c r="K596">
        <v>0.77868852459016391</v>
      </c>
    </row>
    <row r="597" spans="1:11" x14ac:dyDescent="0.3">
      <c r="A597" s="1" t="str">
        <f>HYPERLINK("[.\tse_pressure_data\3321.xlsx]3321!$A268","﻿同泰            ")</f>
        <v xml:space="preserve">﻿同泰            </v>
      </c>
      <c r="B597">
        <v>0.64153143523467104</v>
      </c>
      <c r="C597">
        <v>0.53423998074377177</v>
      </c>
      <c r="D597">
        <v>0.41367338763519829</v>
      </c>
      <c r="E597">
        <v>1.3612157073695534</v>
      </c>
      <c r="F597">
        <v>0.99881586737714623</v>
      </c>
      <c r="G597">
        <v>0.96468366383380544</v>
      </c>
      <c r="H597">
        <v>1.0209267563527653</v>
      </c>
      <c r="I597">
        <v>0.96104129263913829</v>
      </c>
      <c r="J597">
        <v>0.97936051429538151</v>
      </c>
      <c r="K597">
        <v>0.931969696969697</v>
      </c>
    </row>
    <row r="598" spans="1:11" x14ac:dyDescent="0.3">
      <c r="A598" s="1" t="str">
        <f>HYPERLINK("[.\tse_pressure_data\3338.xlsx]3338!$A268","﻿泰碩            ")</f>
        <v xml:space="preserve">﻿泰碩            </v>
      </c>
      <c r="B598">
        <v>1.740200546946217</v>
      </c>
      <c r="C598">
        <v>1.5416666666666667</v>
      </c>
      <c r="D598">
        <v>1.4581529581529582</v>
      </c>
      <c r="E598">
        <v>1.416145181476846</v>
      </c>
      <c r="F598">
        <v>0.86078356789653865</v>
      </c>
      <c r="G598">
        <v>0.9420689655172414</v>
      </c>
      <c r="H598">
        <v>0.964769647696477</v>
      </c>
      <c r="I598">
        <v>0.94435405141555484</v>
      </c>
      <c r="J598">
        <v>0.9471968709256845</v>
      </c>
      <c r="K598">
        <v>0.95081967213114749</v>
      </c>
    </row>
    <row r="599" spans="1:11" x14ac:dyDescent="0.3">
      <c r="A599" s="1" t="str">
        <f>HYPERLINK("[.\tse_pressure_data\3356.xlsx]3356!$A268","﻿奇偶            ")</f>
        <v xml:space="preserve">﻿奇偶            </v>
      </c>
      <c r="B599">
        <v>1.1581493801028122</v>
      </c>
      <c r="C599">
        <v>1.6358695652173914</v>
      </c>
      <c r="D599">
        <v>1.9417013682331945</v>
      </c>
      <c r="E599">
        <v>2.2015655577299413</v>
      </c>
      <c r="F599">
        <v>1.8725428027901079</v>
      </c>
      <c r="G599">
        <v>1.7474747474747474</v>
      </c>
      <c r="H599">
        <v>1.5738416988416988</v>
      </c>
      <c r="I599">
        <v>1.482276119402985</v>
      </c>
      <c r="J599">
        <v>1.4842055634134843</v>
      </c>
      <c r="K599">
        <v>1.387505658669081</v>
      </c>
    </row>
    <row r="600" spans="1:11" x14ac:dyDescent="0.3">
      <c r="A600" s="1" t="str">
        <f>HYPERLINK("[.\tse_pressure_data\3376.xlsx]3376!$A268","﻿新日興          ")</f>
        <v xml:space="preserve">﻿新日興          </v>
      </c>
      <c r="B600">
        <v>0.76126929463132653</v>
      </c>
      <c r="C600">
        <v>0.80235379762193637</v>
      </c>
      <c r="D600">
        <v>0.74524758110415479</v>
      </c>
      <c r="E600">
        <v>0.68294215064816399</v>
      </c>
      <c r="F600">
        <v>0.69002353793228322</v>
      </c>
      <c r="G600">
        <v>0.72319039227204496</v>
      </c>
      <c r="H600">
        <v>0.80375413493345638</v>
      </c>
      <c r="I600">
        <v>0.81683168316831678</v>
      </c>
      <c r="J600">
        <v>0.80632411067193677</v>
      </c>
      <c r="K600">
        <v>0.95997140814867765</v>
      </c>
    </row>
    <row r="601" spans="1:11" x14ac:dyDescent="0.3">
      <c r="A601" s="1" t="str">
        <f>HYPERLINK("[.\tse_pressure_data\3380.xlsx]3380!$A268","﻿明泰            ")</f>
        <v xml:space="preserve">﻿明泰            </v>
      </c>
      <c r="B601">
        <v>1.0071485836451095</v>
      </c>
      <c r="C601">
        <v>1.0400522648083623</v>
      </c>
      <c r="D601">
        <v>1.0345618025446015</v>
      </c>
      <c r="E601">
        <v>1.047571853320119</v>
      </c>
      <c r="F601">
        <v>1.1048949227871285</v>
      </c>
      <c r="G601">
        <v>1.0740856464865687</v>
      </c>
      <c r="H601">
        <v>1.0526337560911039</v>
      </c>
      <c r="I601">
        <v>0.88747337307419216</v>
      </c>
      <c r="J601">
        <v>1.104414066974684</v>
      </c>
      <c r="K601">
        <v>1.0989328697255814</v>
      </c>
    </row>
    <row r="602" spans="1:11" x14ac:dyDescent="0.3">
      <c r="A602" s="1" t="str">
        <f>HYPERLINK("[.\tse_pressure_data\3383.xlsx]3383!$A268","﻿新世紀          ")</f>
        <v xml:space="preserve">﻿新世紀          </v>
      </c>
      <c r="B602">
        <v>0.7975460122699386</v>
      </c>
      <c r="C602">
        <v>0.8584615384615385</v>
      </c>
      <c r="D602">
        <v>0.90032894736842106</v>
      </c>
      <c r="E602">
        <v>0.89273705447209151</v>
      </c>
      <c r="F602">
        <v>0.92422586520947181</v>
      </c>
      <c r="G602">
        <v>1.0698371893744645</v>
      </c>
      <c r="H602">
        <v>1.3436078827690754</v>
      </c>
      <c r="I602">
        <v>1.2587614018242919</v>
      </c>
      <c r="J602">
        <v>1.1550040683482505</v>
      </c>
      <c r="K602">
        <v>1.1221286370597243</v>
      </c>
    </row>
    <row r="603" spans="1:11" x14ac:dyDescent="0.3">
      <c r="A603" s="1" t="str">
        <f>HYPERLINK("[.\tse_pressure_data\3406.xlsx]3406!$A268","﻿玉晶光          ")</f>
        <v xml:space="preserve">﻿玉晶光          </v>
      </c>
      <c r="B603">
        <v>1.3036748576639636</v>
      </c>
      <c r="C603">
        <v>1.473190822720841</v>
      </c>
      <c r="D603">
        <v>1.3083173792810041</v>
      </c>
      <c r="E603">
        <v>1.3960871876661349</v>
      </c>
      <c r="F603">
        <v>1.2166807012171783</v>
      </c>
      <c r="G603">
        <v>1.2535396264317862</v>
      </c>
      <c r="H603">
        <v>1.3826596503402147</v>
      </c>
      <c r="I603">
        <v>1.496907693196925</v>
      </c>
      <c r="J603">
        <v>1.5627481816394733</v>
      </c>
      <c r="K603">
        <v>1.5040969614202799</v>
      </c>
    </row>
    <row r="604" spans="1:11" x14ac:dyDescent="0.3">
      <c r="A604" s="1" t="str">
        <f>HYPERLINK("[.\tse_pressure_data\3413.xlsx]3413!$A268","﻿京鼎            ")</f>
        <v xml:space="preserve">﻿京鼎            </v>
      </c>
      <c r="B604">
        <v>0.76343239519779571</v>
      </c>
      <c r="C604">
        <v>0.73829651337541324</v>
      </c>
      <c r="D604">
        <v>0.706295427013931</v>
      </c>
      <c r="E604">
        <v>0.70630407911001236</v>
      </c>
      <c r="F604">
        <v>0.65604070305272899</v>
      </c>
      <c r="G604">
        <v>0.61230934997863606</v>
      </c>
      <c r="H604">
        <v>0.62581448830969721</v>
      </c>
      <c r="I604">
        <v>0.6093406821101488</v>
      </c>
      <c r="J604">
        <v>0.7452068617558022</v>
      </c>
      <c r="K604">
        <v>0.80816676032217494</v>
      </c>
    </row>
    <row r="605" spans="1:11" x14ac:dyDescent="0.3">
      <c r="A605" s="1" t="str">
        <f>HYPERLINK("[.\tse_pressure_data\3416.xlsx]3416!$A268","﻿融程電          ")</f>
        <v xml:space="preserve">﻿融程電          </v>
      </c>
      <c r="B605">
        <v>1.1379310344827587</v>
      </c>
      <c r="C605">
        <v>1.125</v>
      </c>
      <c r="D605">
        <v>1.0874200426439233</v>
      </c>
      <c r="E605">
        <v>0.89863547758284601</v>
      </c>
      <c r="F605">
        <v>0.755859375</v>
      </c>
      <c r="G605">
        <v>0.69870609981515708</v>
      </c>
      <c r="H605">
        <v>0.72761194029850751</v>
      </c>
      <c r="I605">
        <v>0.69852941176470584</v>
      </c>
      <c r="J605">
        <v>0.70255474452554745</v>
      </c>
      <c r="K605">
        <v>0.69174311926605503</v>
      </c>
    </row>
    <row r="606" spans="1:11" x14ac:dyDescent="0.3">
      <c r="A606" s="1" t="str">
        <f>HYPERLINK("[.\tse_pressure_data\3419.xlsx]3419!$A268","﻿譁裕            ")</f>
        <v xml:space="preserve">﻿譁裕            </v>
      </c>
      <c r="B606">
        <v>0.76888756692444971</v>
      </c>
      <c r="C606">
        <v>0.68406593406593408</v>
      </c>
      <c r="D606">
        <v>0.97873985311171241</v>
      </c>
      <c r="E606">
        <v>1.0235366352844864</v>
      </c>
      <c r="F606">
        <v>1.0398684751335801</v>
      </c>
      <c r="G606">
        <v>1.0190862944162438</v>
      </c>
      <c r="H606">
        <v>1.019113460756405</v>
      </c>
      <c r="I606">
        <v>1.0187813021702838</v>
      </c>
      <c r="J606">
        <v>0.94273573452043702</v>
      </c>
      <c r="K606">
        <v>1.0221362561788094</v>
      </c>
    </row>
    <row r="607" spans="1:11" x14ac:dyDescent="0.3">
      <c r="A607" s="1" t="str">
        <f>HYPERLINK("[.\tse_pressure_data\3432.xlsx]3432!$A268","﻿台端            ")</f>
        <v xml:space="preserve">﻿台端            </v>
      </c>
      <c r="B607">
        <v>0.87953216374269005</v>
      </c>
      <c r="C607">
        <v>0.86845168800931316</v>
      </c>
      <c r="D607">
        <v>0.8657407407407407</v>
      </c>
      <c r="E607">
        <v>0.83148558758314861</v>
      </c>
      <c r="F607">
        <v>0.84478935698447899</v>
      </c>
      <c r="G607">
        <v>0.75096899224806202</v>
      </c>
      <c r="H607">
        <v>1.09375</v>
      </c>
      <c r="I607">
        <v>1.131939908556499</v>
      </c>
      <c r="J607">
        <v>1.0041200706297821</v>
      </c>
      <c r="K607">
        <v>1.0035273368606703</v>
      </c>
    </row>
    <row r="608" spans="1:11" x14ac:dyDescent="0.3">
      <c r="A608" s="1" t="str">
        <f>HYPERLINK("[.\tse_pressure_data\3437.xlsx]3437!$A268","﻿榮創            ")</f>
        <v xml:space="preserve">﻿榮創            </v>
      </c>
      <c r="B608">
        <v>1.1982306104393985</v>
      </c>
      <c r="C608">
        <v>1.1610788429466905</v>
      </c>
      <c r="D608">
        <v>1.1346208625306216</v>
      </c>
      <c r="E608">
        <v>1.1187374749498997</v>
      </c>
      <c r="F608">
        <v>1.0477958728979895</v>
      </c>
      <c r="G608">
        <v>1.0030956557630792</v>
      </c>
      <c r="H608">
        <v>1.0502852526884434</v>
      </c>
      <c r="I608">
        <v>1.0480371900826446</v>
      </c>
      <c r="J608">
        <v>1.062116685013367</v>
      </c>
      <c r="K608">
        <v>1.0982441686833839</v>
      </c>
    </row>
    <row r="609" spans="1:11" x14ac:dyDescent="0.3">
      <c r="A609" s="1" t="str">
        <f>HYPERLINK("[.\tse_pressure_data\3443.xlsx]3443!$A268","﻿創意            ")</f>
        <v xml:space="preserve">﻿創意            </v>
      </c>
      <c r="B609">
        <v>0.55901947072030622</v>
      </c>
      <c r="C609">
        <v>0.58780317902602752</v>
      </c>
      <c r="D609">
        <v>0.55514165400044846</v>
      </c>
      <c r="E609">
        <v>0.52927627438640656</v>
      </c>
      <c r="F609">
        <v>0.5637339286674915</v>
      </c>
      <c r="G609">
        <v>0.45638851416457893</v>
      </c>
      <c r="H609">
        <v>0.59765756042064733</v>
      </c>
      <c r="I609">
        <v>0.5993874234279285</v>
      </c>
      <c r="J609">
        <v>0.73509723853741304</v>
      </c>
      <c r="K609">
        <v>0.74639467401642046</v>
      </c>
    </row>
    <row r="610" spans="1:11" x14ac:dyDescent="0.3">
      <c r="A610" s="1" t="str">
        <f>HYPERLINK("[.\tse_pressure_data\3450.xlsx]3450!$A268","﻿聯鈞            ")</f>
        <v xml:space="preserve">﻿聯鈞            </v>
      </c>
      <c r="B610">
        <v>1.3867698052814084</v>
      </c>
      <c r="C610">
        <v>1.5048068363895317</v>
      </c>
      <c r="D610">
        <v>1.1990978487161694</v>
      </c>
      <c r="E610">
        <v>1.1106462691226975</v>
      </c>
      <c r="F610">
        <v>1.0282055821089278</v>
      </c>
      <c r="G610">
        <v>0.89425686678970795</v>
      </c>
      <c r="H610">
        <v>0.95989377269524689</v>
      </c>
      <c r="I610">
        <v>0.99072040412914564</v>
      </c>
      <c r="J610">
        <v>1.0030253025302531</v>
      </c>
      <c r="K610">
        <v>0.96971123666038916</v>
      </c>
    </row>
    <row r="611" spans="1:11" x14ac:dyDescent="0.3">
      <c r="A611" s="1" t="str">
        <f>HYPERLINK("[.\tse_pressure_data\3454.xlsx]3454!$A268","﻿晶睿            ")</f>
        <v xml:space="preserve">﻿晶睿            </v>
      </c>
      <c r="B611">
        <v>1.364951768488746</v>
      </c>
      <c r="C611">
        <v>1.3535031847133758</v>
      </c>
      <c r="D611">
        <v>1.365231259968102</v>
      </c>
      <c r="E611">
        <v>1.3896940418679549</v>
      </c>
      <c r="F611">
        <v>1.3559055118110237</v>
      </c>
      <c r="G611">
        <v>1.2526158445440956</v>
      </c>
      <c r="H611">
        <v>1.3984615384615384</v>
      </c>
      <c r="I611">
        <v>1.3921874999999999</v>
      </c>
      <c r="J611">
        <v>1.3511811023622047</v>
      </c>
      <c r="K611">
        <v>1.298165137614679</v>
      </c>
    </row>
    <row r="612" spans="1:11" x14ac:dyDescent="0.3">
      <c r="A612" s="1" t="str">
        <f>HYPERLINK("[.\tse_pressure_data\3474.xlsx]3474!$A268","﻿華亞科          ")</f>
        <v xml:space="preserve">﻿華亞科          </v>
      </c>
      <c r="B612">
        <v>0.97776253171725092</v>
      </c>
      <c r="C612">
        <v>0.9760570316347349</v>
      </c>
      <c r="D612">
        <v>1.0800167875771929</v>
      </c>
      <c r="E612">
        <v>0.82058196342137624</v>
      </c>
      <c r="F612">
        <v>0.81079408895128857</v>
      </c>
      <c r="G612">
        <v>0.7765530946356568</v>
      </c>
      <c r="H612">
        <v>0.81094825358795486</v>
      </c>
      <c r="I612">
        <v>0.8089164493928076</v>
      </c>
      <c r="J612">
        <v>0.86650755960457448</v>
      </c>
      <c r="K612">
        <v>0.8934284951326682</v>
      </c>
    </row>
    <row r="613" spans="1:11" x14ac:dyDescent="0.3">
      <c r="A613" s="1" t="str">
        <f>HYPERLINK("[.\tse_pressure_data\3481.xlsx]3481!$A268","﻿群創            ")</f>
        <v xml:space="preserve">﻿群創            </v>
      </c>
      <c r="B613">
        <v>0.81219783870113815</v>
      </c>
      <c r="C613">
        <v>0.80895427166794887</v>
      </c>
      <c r="D613">
        <v>0.72467019262553711</v>
      </c>
      <c r="E613">
        <v>0.7036305620877481</v>
      </c>
      <c r="F613">
        <v>0.71579976946991153</v>
      </c>
      <c r="G613">
        <v>0.65697261376353278</v>
      </c>
      <c r="H613">
        <v>0.65688674542751124</v>
      </c>
      <c r="I613">
        <v>0.562679134359934</v>
      </c>
      <c r="J613">
        <v>0.60769275809538292</v>
      </c>
      <c r="K613">
        <v>0.63174531521810939</v>
      </c>
    </row>
    <row r="614" spans="1:11" x14ac:dyDescent="0.3">
      <c r="A614" s="1" t="str">
        <f>HYPERLINK("[.\tse_pressure_data\3494.xlsx]3494!$A268","﻿誠研            ")</f>
        <v xml:space="preserve">﻿誠研            </v>
      </c>
      <c r="B614">
        <v>1.2909281228192604</v>
      </c>
      <c r="C614">
        <v>1.235702614379085</v>
      </c>
      <c r="D614">
        <v>0.98574659443538637</v>
      </c>
      <c r="E614">
        <v>0.96558640346247226</v>
      </c>
      <c r="F614">
        <v>0.95718363463368217</v>
      </c>
      <c r="G614">
        <v>0.94870832886697398</v>
      </c>
      <c r="H614">
        <v>0.95914169770415258</v>
      </c>
      <c r="I614">
        <v>0.9301170236255244</v>
      </c>
      <c r="J614">
        <v>0.40240626748740904</v>
      </c>
      <c r="K614">
        <v>0.6589301903898459</v>
      </c>
    </row>
    <row r="615" spans="1:11" x14ac:dyDescent="0.3">
      <c r="A615" s="1" t="str">
        <f>HYPERLINK("[.\tse_pressure_data\3501.xlsx]3501!$A268","﻿維熹            ")</f>
        <v xml:space="preserve">﻿維熹            </v>
      </c>
      <c r="B615">
        <v>1.5150065245759026</v>
      </c>
      <c r="C615">
        <v>1.3809328968903436</v>
      </c>
      <c r="D615">
        <v>1.1887716654107008</v>
      </c>
      <c r="E615">
        <v>1.1592403214024836</v>
      </c>
      <c r="F615">
        <v>1.1052435849758275</v>
      </c>
      <c r="G615">
        <v>1.0201760821716801</v>
      </c>
      <c r="H615">
        <v>1.117867867867868</v>
      </c>
      <c r="I615">
        <v>1.0371195248700817</v>
      </c>
      <c r="J615">
        <v>1.0600077429345722</v>
      </c>
      <c r="K615">
        <v>1.2317016317016316</v>
      </c>
    </row>
    <row r="616" spans="1:11" x14ac:dyDescent="0.3">
      <c r="A616" s="1" t="str">
        <f>HYPERLINK("[.\tse_pressure_data\3504.xlsx]3504!$A268","﻿揚明光          ")</f>
        <v xml:space="preserve">﻿揚明光          </v>
      </c>
      <c r="B616">
        <v>0.56587705340534722</v>
      </c>
      <c r="C616">
        <v>0.57809885214603907</v>
      </c>
      <c r="D616">
        <v>0.54325259515570934</v>
      </c>
      <c r="E616">
        <v>0.49903615865412698</v>
      </c>
      <c r="F616">
        <v>0.46550935007192362</v>
      </c>
      <c r="G616">
        <v>0.57226989735823663</v>
      </c>
      <c r="H616">
        <v>0.88452046634328996</v>
      </c>
      <c r="I616">
        <v>0.80126708902967658</v>
      </c>
      <c r="J616">
        <v>1.257910370657368</v>
      </c>
      <c r="K616">
        <v>1.3013354488959408</v>
      </c>
    </row>
    <row r="617" spans="1:11" x14ac:dyDescent="0.3">
      <c r="A617" s="1" t="str">
        <f>HYPERLINK("[.\tse_pressure_data\3514.xlsx]3514!$A268","﻿昱晶            ")</f>
        <v xml:space="preserve">﻿昱晶            </v>
      </c>
      <c r="B617">
        <v>1.1160841277046452</v>
      </c>
      <c r="C617">
        <v>1.147868694763422</v>
      </c>
      <c r="D617">
        <v>1.1117918664535607</v>
      </c>
      <c r="E617">
        <v>1.0662154208357857</v>
      </c>
      <c r="F617">
        <v>1.0718548720676002</v>
      </c>
      <c r="G617">
        <v>0.98568121409585874</v>
      </c>
      <c r="H617">
        <v>1.0321947842141703</v>
      </c>
      <c r="I617">
        <v>1.0214091660760689</v>
      </c>
      <c r="J617">
        <v>1.3250332518791179</v>
      </c>
      <c r="K617">
        <v>0.83732565500622846</v>
      </c>
    </row>
    <row r="618" spans="1:11" x14ac:dyDescent="0.3">
      <c r="A618" s="1" t="str">
        <f>HYPERLINK("[.\tse_pressure_data\3515.xlsx]3515!$A268","﻿華擎            ")</f>
        <v xml:space="preserve">﻿華擎            </v>
      </c>
      <c r="B618">
        <v>0.85530753171671747</v>
      </c>
      <c r="C618">
        <v>0.83236349143084898</v>
      </c>
      <c r="D618">
        <v>0.71431954531101993</v>
      </c>
      <c r="E618">
        <v>0.73772401433691759</v>
      </c>
      <c r="F618">
        <v>0.83866583019657048</v>
      </c>
      <c r="G618">
        <v>0.85982256020278836</v>
      </c>
      <c r="H618">
        <v>1.0056333739342265</v>
      </c>
      <c r="I618">
        <v>1.0645447816432272</v>
      </c>
      <c r="J618">
        <v>1.1546407647240209</v>
      </c>
      <c r="K618">
        <v>1.0804225352112675</v>
      </c>
    </row>
    <row r="619" spans="1:11" x14ac:dyDescent="0.3">
      <c r="A619" s="1" t="str">
        <f>HYPERLINK("[.\tse_pressure_data\3518.xlsx]3518!$A268","﻿柏騰            ")</f>
        <v xml:space="preserve">﻿柏騰            </v>
      </c>
      <c r="B619">
        <v>0.90575916230366493</v>
      </c>
      <c r="C619">
        <v>0.94337923047226868</v>
      </c>
      <c r="D619">
        <v>1.0053749680061428</v>
      </c>
      <c r="E619">
        <v>0.92018725736469509</v>
      </c>
      <c r="F619">
        <v>0.90354062641852018</v>
      </c>
      <c r="G619">
        <v>0.86636201515827016</v>
      </c>
      <c r="H619">
        <v>0.90093753529876874</v>
      </c>
      <c r="I619">
        <v>0.89420874686443452</v>
      </c>
      <c r="J619">
        <v>0.97586626812797517</v>
      </c>
      <c r="K619">
        <v>1.0397564058370676</v>
      </c>
    </row>
    <row r="620" spans="1:11" x14ac:dyDescent="0.3">
      <c r="A620" s="1" t="str">
        <f>HYPERLINK("[.\tse_pressure_data\3519.xlsx]3519!$A268","﻿綠能            ")</f>
        <v xml:space="preserve">﻿綠能            </v>
      </c>
      <c r="B620">
        <v>1.3535865974516281</v>
      </c>
      <c r="C620">
        <v>1.3956865848832607</v>
      </c>
      <c r="D620">
        <v>1.4109460834181078</v>
      </c>
      <c r="E620">
        <v>1.3993065470120334</v>
      </c>
      <c r="F620">
        <v>1.4072006239993431</v>
      </c>
      <c r="G620">
        <v>1.3322232860175665</v>
      </c>
      <c r="H620">
        <v>1.2525835510665679</v>
      </c>
      <c r="I620">
        <v>1.1879468029873397</v>
      </c>
      <c r="J620">
        <v>1.3404654818566875</v>
      </c>
      <c r="K620">
        <v>1.1059650648691746</v>
      </c>
    </row>
    <row r="621" spans="1:11" x14ac:dyDescent="0.3">
      <c r="A621" s="1" t="str">
        <f>HYPERLINK("[.\tse_pressure_data\3528.xlsx]3528!$A268","﻿安馳            ")</f>
        <v xml:space="preserve">﻿安馳            </v>
      </c>
      <c r="B621">
        <v>1.1237785016286646</v>
      </c>
      <c r="C621">
        <v>1.2596314907872697</v>
      </c>
      <c r="D621">
        <v>1.2184466019417475</v>
      </c>
      <c r="E621">
        <v>1.2426710097719871</v>
      </c>
      <c r="F621">
        <v>1.2544</v>
      </c>
      <c r="G621">
        <v>1.213166144200627</v>
      </c>
      <c r="H621">
        <v>1.358931552587646</v>
      </c>
      <c r="I621">
        <v>1.4</v>
      </c>
      <c r="J621">
        <v>1.3663865546218488</v>
      </c>
      <c r="K621">
        <v>1.472663139329806</v>
      </c>
    </row>
    <row r="622" spans="1:11" x14ac:dyDescent="0.3">
      <c r="A622" s="1" t="str">
        <f>HYPERLINK("[.\tse_pressure_data\3532.xlsx]3532!$A268","﻿台勝科          ")</f>
        <v xml:space="preserve">﻿台勝科          </v>
      </c>
      <c r="B622">
        <v>0.84733893557422968</v>
      </c>
      <c r="C622">
        <v>0.77440540125824764</v>
      </c>
      <c r="D622">
        <v>0.79386793454036042</v>
      </c>
      <c r="E622">
        <v>0.79908418082104249</v>
      </c>
      <c r="F622">
        <v>0.69941474120587699</v>
      </c>
      <c r="G622">
        <v>0.67479963838410517</v>
      </c>
      <c r="H622">
        <v>0.69243129317000895</v>
      </c>
      <c r="I622">
        <v>0.63468406369744801</v>
      </c>
      <c r="J622">
        <v>0.70094206537072901</v>
      </c>
      <c r="K622">
        <v>0.73142466707751663</v>
      </c>
    </row>
    <row r="623" spans="1:11" x14ac:dyDescent="0.3">
      <c r="A623" s="1" t="str">
        <f>HYPERLINK("[.\tse_pressure_data\3533.xlsx]3533!$A268","﻿嘉澤            ")</f>
        <v xml:space="preserve">﻿嘉澤            </v>
      </c>
      <c r="B623">
        <v>1.5129760148609517</v>
      </c>
      <c r="C623">
        <v>1.5141157321659089</v>
      </c>
      <c r="D623">
        <v>1.4964643321830626</v>
      </c>
      <c r="E623">
        <v>1.5027125775022143</v>
      </c>
      <c r="F623">
        <v>1.3678369652945923</v>
      </c>
      <c r="G623">
        <v>1.3280228560360272</v>
      </c>
      <c r="H623">
        <v>1.2249657670391803</v>
      </c>
      <c r="I623">
        <v>1.2642705194114519</v>
      </c>
      <c r="J623">
        <v>1.2047227222079369</v>
      </c>
      <c r="K623">
        <v>1.2488883076118231</v>
      </c>
    </row>
    <row r="624" spans="1:11" x14ac:dyDescent="0.3">
      <c r="A624" s="1" t="str">
        <f>HYPERLINK("[.\tse_pressure_data\3535.xlsx]3535!$A268","﻿晶彩科          ")</f>
        <v xml:space="preserve">﻿晶彩科          </v>
      </c>
      <c r="B624">
        <v>1.2836767036450079</v>
      </c>
      <c r="C624">
        <v>1.2776506483600305</v>
      </c>
      <c r="D624">
        <v>1.2782839787395597</v>
      </c>
      <c r="E624">
        <v>1.1949778434268834</v>
      </c>
      <c r="F624">
        <v>1.1416144745998609</v>
      </c>
      <c r="G624">
        <v>1.1774530271398747</v>
      </c>
      <c r="H624">
        <v>1.1871727748691099</v>
      </c>
      <c r="I624">
        <v>1.111864406779661</v>
      </c>
      <c r="J624">
        <v>0.87291621563108901</v>
      </c>
      <c r="K624">
        <v>0.22353282975014527</v>
      </c>
    </row>
    <row r="625" spans="1:11" x14ac:dyDescent="0.3">
      <c r="A625" s="1" t="str">
        <f>HYPERLINK("[.\tse_pressure_data\3536.xlsx]3536!$A268","﻿誠創            ")</f>
        <v xml:space="preserve">﻿誠創            </v>
      </c>
      <c r="B625">
        <v>1.2196901925702717</v>
      </c>
      <c r="C625">
        <v>1.2755763513184188</v>
      </c>
      <c r="D625">
        <v>1.2884588084985567</v>
      </c>
      <c r="E625">
        <v>1.10309710406102</v>
      </c>
      <c r="F625">
        <v>1.090667220951985</v>
      </c>
      <c r="G625">
        <v>1.1109713662851632</v>
      </c>
      <c r="H625">
        <v>1.142650158061117</v>
      </c>
      <c r="I625">
        <v>0.8395102581072138</v>
      </c>
      <c r="J625">
        <v>0.92048369366068161</v>
      </c>
      <c r="K625">
        <v>1.1098571856586437</v>
      </c>
    </row>
    <row r="626" spans="1:11" x14ac:dyDescent="0.3">
      <c r="A626" s="1" t="str">
        <f>HYPERLINK("[.\tse_pressure_data\3545.xlsx]3545!$A268","﻿敦泰            ")</f>
        <v xml:space="preserve">﻿敦泰            </v>
      </c>
      <c r="B626">
        <v>1.4097528830313015</v>
      </c>
      <c r="C626">
        <v>1.2609311331387452</v>
      </c>
      <c r="D626">
        <v>1.2311607802991527</v>
      </c>
      <c r="E626">
        <v>1.1543690384826226</v>
      </c>
      <c r="F626">
        <v>1.1618689346854214</v>
      </c>
      <c r="G626">
        <v>1.113318911412013</v>
      </c>
      <c r="H626">
        <v>1.2132400957771006</v>
      </c>
      <c r="I626">
        <v>1.2189521855767713</v>
      </c>
      <c r="J626">
        <v>1.1173308032890577</v>
      </c>
      <c r="K626">
        <v>1.1720422400611621</v>
      </c>
    </row>
    <row r="627" spans="1:11" x14ac:dyDescent="0.3">
      <c r="A627" s="1" t="str">
        <f>HYPERLINK("[.\tse_pressure_data\3550.xlsx]3550!$A268","﻿聯穎            ")</f>
        <v xml:space="preserve">﻿聯穎            </v>
      </c>
      <c r="B627">
        <v>2.2370848708487086</v>
      </c>
      <c r="C627">
        <v>1.5132015132015133</v>
      </c>
      <c r="D627">
        <v>1.4905259966651507</v>
      </c>
      <c r="E627">
        <v>1.4029759269978548</v>
      </c>
      <c r="F627">
        <v>1.3816013092465538</v>
      </c>
      <c r="G627">
        <v>1.1799190840098368</v>
      </c>
      <c r="H627">
        <v>0.87039099478938786</v>
      </c>
      <c r="I627">
        <v>0.75433335118441958</v>
      </c>
      <c r="J627">
        <v>0.73098072713683204</v>
      </c>
      <c r="K627">
        <v>0.73293357102983814</v>
      </c>
    </row>
    <row r="628" spans="1:11" x14ac:dyDescent="0.3">
      <c r="A628" s="1" t="str">
        <f>HYPERLINK("[.\tse_pressure_data\3557.xlsx]3557!$A268","﻿嘉威            ")</f>
        <v xml:space="preserve">﻿嘉威            </v>
      </c>
      <c r="B628">
        <v>0.6917106033977739</v>
      </c>
      <c r="C628">
        <v>0.6094741294233752</v>
      </c>
      <c r="D628">
        <v>0.58129683936135546</v>
      </c>
      <c r="E628">
        <v>0.64611501712637465</v>
      </c>
      <c r="F628">
        <v>0.71056977704376545</v>
      </c>
      <c r="G628">
        <v>0.71095228084927475</v>
      </c>
      <c r="H628">
        <v>0.69071274298056151</v>
      </c>
      <c r="I628">
        <v>0.70947741364038974</v>
      </c>
      <c r="J628">
        <v>0.71740598964197255</v>
      </c>
      <c r="K628">
        <v>0.7158962795941376</v>
      </c>
    </row>
    <row r="629" spans="1:11" x14ac:dyDescent="0.3">
      <c r="A629" s="1" t="str">
        <f>HYPERLINK("[.\tse_pressure_data\3559.xlsx]3559!$A268","﻿全智科          ")</f>
        <v xml:space="preserve">﻿全智科          </v>
      </c>
      <c r="B629">
        <v>0.98391959798994977</v>
      </c>
      <c r="C629">
        <v>1.0020703933747412</v>
      </c>
      <c r="D629">
        <v>1.0032467532467533</v>
      </c>
      <c r="E629">
        <v>0.955078125</v>
      </c>
      <c r="F629">
        <v>0.94403892944038925</v>
      </c>
      <c r="G629">
        <v>1.0699708454810495</v>
      </c>
      <c r="H629">
        <v>1.055393586005831</v>
      </c>
      <c r="I629">
        <v>1.0710059171597632</v>
      </c>
      <c r="J629">
        <v>1.0461538461538462</v>
      </c>
      <c r="K629">
        <v>1.0502092050209204</v>
      </c>
    </row>
    <row r="630" spans="1:11" x14ac:dyDescent="0.3">
      <c r="A630" s="1" t="str">
        <f>HYPERLINK("[.\tse_pressure_data\3561.xlsx]3561!$A268","﻿昇陽科          ")</f>
        <v xml:space="preserve">﻿昇陽科          </v>
      </c>
      <c r="B630">
        <v>1.1920891703170404</v>
      </c>
      <c r="C630">
        <v>1.2792120778988745</v>
      </c>
      <c r="D630">
        <v>1.1779516685845799</v>
      </c>
      <c r="E630">
        <v>1.113376473716869</v>
      </c>
      <c r="F630">
        <v>1.1183038681377111</v>
      </c>
      <c r="G630">
        <v>1.0103382563125298</v>
      </c>
      <c r="H630">
        <v>1.0533829064536859</v>
      </c>
      <c r="I630">
        <v>1.1967873733698997</v>
      </c>
      <c r="J630">
        <v>1.3016537575884446</v>
      </c>
      <c r="K630">
        <v>0.81040716337219121</v>
      </c>
    </row>
    <row r="631" spans="1:11" x14ac:dyDescent="0.3">
      <c r="A631" s="1" t="str">
        <f>HYPERLINK("[.\tse_pressure_data\3573.xlsx]3573!$A268","﻿穎台            ")</f>
        <v xml:space="preserve">﻿穎台            </v>
      </c>
      <c r="B631">
        <v>0.85689045936395758</v>
      </c>
      <c r="C631">
        <v>0.83446866485013627</v>
      </c>
      <c r="D631">
        <v>0.84912812736921905</v>
      </c>
      <c r="E631">
        <v>0.84054487179487181</v>
      </c>
      <c r="F631">
        <v>0.8348547717842324</v>
      </c>
      <c r="G631">
        <v>0.83231441048034938</v>
      </c>
      <c r="H631">
        <v>0.8220574606116775</v>
      </c>
      <c r="I631">
        <v>0.80794701986754969</v>
      </c>
      <c r="J631">
        <v>0.84986413043478259</v>
      </c>
      <c r="K631">
        <v>0.88694481830417227</v>
      </c>
    </row>
    <row r="632" spans="1:11" x14ac:dyDescent="0.3">
      <c r="A632" s="1" t="str">
        <f>HYPERLINK("[.\tse_pressure_data\3576.xlsx]3576!$A268","﻿新日光          ")</f>
        <v xml:space="preserve">﻿新日光          </v>
      </c>
      <c r="B632">
        <v>1.0829836537859334</v>
      </c>
      <c r="C632">
        <v>1.1410377062550976</v>
      </c>
      <c r="D632">
        <v>1.0700057086200163</v>
      </c>
      <c r="E632">
        <v>1.0719424460431655</v>
      </c>
      <c r="F632">
        <v>1.0416263895601741</v>
      </c>
      <c r="G632">
        <v>1.00912852969815</v>
      </c>
      <c r="H632">
        <v>1.0370112366356725</v>
      </c>
      <c r="I632">
        <v>1.0647850974423452</v>
      </c>
      <c r="J632">
        <v>1.1832918119913636</v>
      </c>
      <c r="K632">
        <v>0.74245122482092685</v>
      </c>
    </row>
    <row r="633" spans="1:11" x14ac:dyDescent="0.3">
      <c r="A633" s="1" t="str">
        <f>HYPERLINK("[.\tse_pressure_data\3579.xlsx]3579!$A268","﻿尚志            ")</f>
        <v xml:space="preserve">﻿尚志            </v>
      </c>
      <c r="B633">
        <v>1.0332027606789778</v>
      </c>
      <c r="C633">
        <v>0.99623790756001429</v>
      </c>
      <c r="D633">
        <v>0.99142091152815015</v>
      </c>
      <c r="E633">
        <v>0.96315323294951283</v>
      </c>
      <c r="F633">
        <v>0.99496764917325664</v>
      </c>
      <c r="G633">
        <v>0.94230088495575226</v>
      </c>
      <c r="H633">
        <v>0.93755559508984165</v>
      </c>
      <c r="I633">
        <v>0.86131517649166811</v>
      </c>
      <c r="J633">
        <v>0.8880825057295646</v>
      </c>
      <c r="K633">
        <v>0.86885851496121169</v>
      </c>
    </row>
    <row r="634" spans="1:11" x14ac:dyDescent="0.3">
      <c r="A634" s="1" t="str">
        <f>HYPERLINK("[.\tse_pressure_data\3583.xlsx]3583!$A268","﻿辛耘            ")</f>
        <v xml:space="preserve">﻿辛耘            </v>
      </c>
      <c r="B634">
        <v>1.0116629964929451</v>
      </c>
      <c r="C634">
        <v>1.0723559083767469</v>
      </c>
      <c r="D634">
        <v>1.0552702372218146</v>
      </c>
      <c r="E634">
        <v>0.93325001837829891</v>
      </c>
      <c r="F634">
        <v>0.88744126441691584</v>
      </c>
      <c r="G634">
        <v>0.88250470678474302</v>
      </c>
      <c r="H634">
        <v>0.89563160617931847</v>
      </c>
      <c r="I634">
        <v>0.95730456582845858</v>
      </c>
      <c r="J634">
        <v>0.87458507721171885</v>
      </c>
      <c r="K634">
        <v>0.88732394366197187</v>
      </c>
    </row>
    <row r="635" spans="1:11" x14ac:dyDescent="0.3">
      <c r="A635" s="1" t="str">
        <f>HYPERLINK("[.\tse_pressure_data\3588.xlsx]3588!$A268","﻿通嘉            ")</f>
        <v xml:space="preserve">﻿通嘉            </v>
      </c>
      <c r="B635">
        <v>1.281216069489685</v>
      </c>
      <c r="C635">
        <v>1.2733153638814017</v>
      </c>
      <c r="D635">
        <v>1.2292993630573248</v>
      </c>
      <c r="E635">
        <v>1.1728900255754475</v>
      </c>
      <c r="F635">
        <v>1.1682765632943568</v>
      </c>
      <c r="G635">
        <v>1.1642857142857144</v>
      </c>
      <c r="H635">
        <v>1.1653826399589111</v>
      </c>
      <c r="I635">
        <v>1.1600418410041842</v>
      </c>
      <c r="J635">
        <v>1.0981189628876462</v>
      </c>
      <c r="K635">
        <v>1.1118110236220473</v>
      </c>
    </row>
    <row r="636" spans="1:11" x14ac:dyDescent="0.3">
      <c r="A636" s="1" t="str">
        <f>HYPERLINK("[.\tse_pressure_data\3591.xlsx]3591!$A268","﻿艾笛森          ")</f>
        <v xml:space="preserve">﻿艾笛森          </v>
      </c>
      <c r="B636">
        <v>0.95175377790101201</v>
      </c>
      <c r="C636">
        <v>0.9419025895612505</v>
      </c>
      <c r="D636">
        <v>0.90097862477465873</v>
      </c>
      <c r="E636">
        <v>0.87562437562437567</v>
      </c>
      <c r="F636">
        <v>0.83291381996883618</v>
      </c>
      <c r="G636">
        <v>0.82867806405008426</v>
      </c>
      <c r="H636">
        <v>0.86714443219404636</v>
      </c>
      <c r="I636">
        <v>0.86125874125874124</v>
      </c>
      <c r="J636">
        <v>0.88192873303167418</v>
      </c>
      <c r="K636">
        <v>0.86078820527360367</v>
      </c>
    </row>
    <row r="637" spans="1:11" x14ac:dyDescent="0.3">
      <c r="A637" s="1" t="str">
        <f>HYPERLINK("[.\tse_pressure_data\3593.xlsx]3593!$A268","﻿力銘            ")</f>
        <v xml:space="preserve">﻿力銘            </v>
      </c>
      <c r="B637">
        <v>1.0840443686006827</v>
      </c>
      <c r="C637">
        <v>1.1847389558232932</v>
      </c>
      <c r="D637">
        <v>1.2092467118373853</v>
      </c>
      <c r="E637">
        <v>1.2273281821878812</v>
      </c>
      <c r="F637">
        <v>1.2573467674223342</v>
      </c>
      <c r="G637">
        <v>1.2462845010615711</v>
      </c>
      <c r="H637">
        <v>1.3129670329670329</v>
      </c>
      <c r="I637">
        <v>1.4877484974572353</v>
      </c>
      <c r="J637">
        <v>1.6036585365853659</v>
      </c>
      <c r="K637">
        <v>1.4273182957393484</v>
      </c>
    </row>
    <row r="638" spans="1:11" x14ac:dyDescent="0.3">
      <c r="A638" s="1" t="str">
        <f>HYPERLINK("[.\tse_pressure_data\3596.xlsx]3596!$A268","﻿智易            ")</f>
        <v xml:space="preserve">﻿智易            </v>
      </c>
      <c r="B638">
        <v>1.6079749103942653</v>
      </c>
      <c r="C638">
        <v>1.6153528683450269</v>
      </c>
      <c r="D638">
        <v>1.1997345515155255</v>
      </c>
      <c r="E638">
        <v>1.1625094254260293</v>
      </c>
      <c r="F638">
        <v>1.1136749843484484</v>
      </c>
      <c r="G638">
        <v>1.1073877296607402</v>
      </c>
      <c r="H638">
        <v>1.1229534890606034</v>
      </c>
      <c r="I638">
        <v>1.0596548520593452</v>
      </c>
      <c r="J638">
        <v>1.0794847628023876</v>
      </c>
      <c r="K638">
        <v>1.1278060204489633</v>
      </c>
    </row>
    <row r="639" spans="1:11" x14ac:dyDescent="0.3">
      <c r="A639" s="1" t="str">
        <f>HYPERLINK("[.\tse_pressure_data\3598.xlsx]3598!$A268","﻿奕力            ")</f>
        <v xml:space="preserve">﻿奕力            </v>
      </c>
      <c r="B639">
        <v>0.87489807804309838</v>
      </c>
      <c r="C639">
        <v>0.8562719812426729</v>
      </c>
      <c r="D639">
        <v>0.8622946917400619</v>
      </c>
      <c r="E639">
        <v>0.74717982747179823</v>
      </c>
      <c r="F639">
        <v>0.6385529386802461</v>
      </c>
      <c r="G639">
        <v>0.63824591208324488</v>
      </c>
      <c r="H639">
        <v>0.69686185700420578</v>
      </c>
      <c r="I639">
        <v>0.67581912830458302</v>
      </c>
      <c r="J639">
        <v>0.65506851977840408</v>
      </c>
      <c r="K639">
        <v>0.62951136913401062</v>
      </c>
    </row>
    <row r="640" spans="1:11" x14ac:dyDescent="0.3">
      <c r="A640" s="1" t="str">
        <f>HYPERLINK("[.\tse_pressure_data\3605.xlsx]3605!$A268","﻿宏致            ")</f>
        <v xml:space="preserve">﻿宏致            </v>
      </c>
      <c r="B640">
        <v>1.1271641791044775</v>
      </c>
      <c r="C640">
        <v>1.0187534473248758</v>
      </c>
      <c r="D640">
        <v>1.1456043956043955</v>
      </c>
      <c r="E640">
        <v>1.1184000000000001</v>
      </c>
      <c r="F640">
        <v>1.2606263982102908</v>
      </c>
      <c r="G640">
        <v>1.176406335335882</v>
      </c>
      <c r="H640">
        <v>1.1180400890868596</v>
      </c>
      <c r="I640">
        <v>1.1443345323741008</v>
      </c>
      <c r="J640">
        <v>1.0433884297520661</v>
      </c>
      <c r="K640">
        <v>0.97247329498767465</v>
      </c>
    </row>
    <row r="641" spans="1:11" x14ac:dyDescent="0.3">
      <c r="A641" s="1" t="str">
        <f>HYPERLINK("[.\tse_pressure_data\3607.xlsx]3607!$A268","﻿谷崧            ")</f>
        <v xml:space="preserve">﻿谷崧            </v>
      </c>
      <c r="B641">
        <v>1.4854987031360529</v>
      </c>
      <c r="C641">
        <v>1.4186890451349512</v>
      </c>
      <c r="D641">
        <v>1.4230076542098153</v>
      </c>
      <c r="E641">
        <v>1.3115557370355246</v>
      </c>
      <c r="F641">
        <v>1.3087152209492634</v>
      </c>
      <c r="G641">
        <v>1.3041174072564208</v>
      </c>
      <c r="H641">
        <v>1.3342975206611569</v>
      </c>
      <c r="I641">
        <v>1.3400630914826499</v>
      </c>
      <c r="J641">
        <v>1.2846441947565543</v>
      </c>
      <c r="K641">
        <v>1.2819392426134</v>
      </c>
    </row>
    <row r="642" spans="1:11" x14ac:dyDescent="0.3">
      <c r="A642" s="1" t="str">
        <f>HYPERLINK("[.\tse_pressure_data\3617.xlsx]3617!$A268","﻿碩天            ")</f>
        <v xml:space="preserve">﻿碩天            </v>
      </c>
      <c r="B642">
        <v>1.5263157894736843</v>
      </c>
      <c r="C642">
        <v>1.4747474747474747</v>
      </c>
      <c r="D642">
        <v>1.3433835845896147</v>
      </c>
      <c r="E642">
        <v>1.2935153583617747</v>
      </c>
      <c r="F642">
        <v>1.1368078175895766</v>
      </c>
      <c r="G642">
        <v>1.156405990016639</v>
      </c>
      <c r="H642">
        <v>1.1120263591433279</v>
      </c>
      <c r="I642">
        <v>0.93537964458804523</v>
      </c>
      <c r="J642">
        <v>1.1666666666666667</v>
      </c>
      <c r="K642">
        <v>1.357983193277311</v>
      </c>
    </row>
    <row r="643" spans="1:11" x14ac:dyDescent="0.3">
      <c r="A643" s="1" t="str">
        <f>HYPERLINK("[.\tse_pressure_data\3622.xlsx]3622!$A268","﻿洋華            ")</f>
        <v xml:space="preserve">﻿洋華            </v>
      </c>
      <c r="B643">
        <v>1.5647363762801871</v>
      </c>
      <c r="C643">
        <v>1.4260900035040296</v>
      </c>
      <c r="D643">
        <v>1.0368025440878867</v>
      </c>
      <c r="E643">
        <v>0.77283307352281705</v>
      </c>
      <c r="F643">
        <v>0.76147200957960914</v>
      </c>
      <c r="G643">
        <v>0.75041107006342223</v>
      </c>
      <c r="H643">
        <v>0.7749131000362528</v>
      </c>
      <c r="I643">
        <v>0.73478676531715026</v>
      </c>
      <c r="J643">
        <v>0.68735256383727183</v>
      </c>
      <c r="K643">
        <v>0.68130162081599699</v>
      </c>
    </row>
    <row r="644" spans="1:11" x14ac:dyDescent="0.3">
      <c r="A644" s="1" t="str">
        <f>HYPERLINK("[.\tse_pressure_data\3645.xlsx]3645!$A268","﻿達邁            ")</f>
        <v xml:space="preserve">﻿達邁            </v>
      </c>
      <c r="B644">
        <v>1.152048642848627</v>
      </c>
      <c r="C644">
        <v>1.1314196783676294</v>
      </c>
      <c r="D644">
        <v>1.0708599371936451</v>
      </c>
      <c r="E644">
        <v>1.1642404215414843</v>
      </c>
      <c r="F644">
        <v>1.2542522223089707</v>
      </c>
      <c r="G644">
        <v>1.0553709856035438</v>
      </c>
      <c r="H644">
        <v>1.2356162075646533</v>
      </c>
      <c r="I644">
        <v>1.0461805186414896</v>
      </c>
      <c r="J644">
        <v>1.0362415456594991</v>
      </c>
      <c r="K644">
        <v>1.0627644897769373</v>
      </c>
    </row>
    <row r="645" spans="1:11" x14ac:dyDescent="0.3">
      <c r="A645" s="1" t="str">
        <f>HYPERLINK("[.\tse_pressure_data\3653.xlsx]3653!$A268","﻿健策            ")</f>
        <v xml:space="preserve">﻿健策            </v>
      </c>
      <c r="B645">
        <v>1.093354078684152</v>
      </c>
      <c r="C645">
        <v>1.1168978849215374</v>
      </c>
      <c r="D645">
        <v>0.96285959639330188</v>
      </c>
      <c r="E645">
        <v>0.94424111948331535</v>
      </c>
      <c r="F645">
        <v>0.65409947762888943</v>
      </c>
      <c r="G645">
        <v>0.70151636073423784</v>
      </c>
      <c r="H645">
        <v>0.76355461518116896</v>
      </c>
      <c r="I645">
        <v>0.88986061765509705</v>
      </c>
      <c r="J645">
        <v>0.87035530241388659</v>
      </c>
      <c r="K645">
        <v>0.80506924483929976</v>
      </c>
    </row>
    <row r="646" spans="1:11" x14ac:dyDescent="0.3">
      <c r="A646" s="1" t="str">
        <f>HYPERLINK("[.\tse_pressure_data\3661.xlsx]3661!$A268","﻿F-世芯          ")</f>
        <v xml:space="preserve">﻿F-世芯          </v>
      </c>
      <c r="B646">
        <v>0.70472843525581508</v>
      </c>
      <c r="C646">
        <v>0.675137754132624</v>
      </c>
      <c r="D646">
        <v>0.62873161148114431</v>
      </c>
      <c r="E646">
        <v>0.67911492983542976</v>
      </c>
      <c r="F646">
        <v>0.64077353629283029</v>
      </c>
      <c r="G646">
        <v>0.73773976583907663</v>
      </c>
      <c r="H646">
        <v>0.77323324726843701</v>
      </c>
      <c r="I646">
        <v>0.7100733683368684</v>
      </c>
      <c r="J646">
        <v>0.76074168358044647</v>
      </c>
      <c r="K646">
        <v>0.67420205886917384</v>
      </c>
    </row>
    <row r="647" spans="1:11" x14ac:dyDescent="0.3">
      <c r="A647" s="1" t="str">
        <f>HYPERLINK("[.\tse_pressure_data\3665.xlsx]3665!$A268","﻿F-貿聯          ")</f>
        <v xml:space="preserve">﻿F-貿聯          </v>
      </c>
      <c r="B647">
        <v>1.0846432889963724</v>
      </c>
      <c r="C647">
        <v>1.0700698290392487</v>
      </c>
      <c r="D647">
        <v>1.0399772487202406</v>
      </c>
      <c r="E647">
        <v>1.113173805671464</v>
      </c>
      <c r="F647">
        <v>1.0926148046607265</v>
      </c>
      <c r="G647">
        <v>1.1313620071684587</v>
      </c>
      <c r="H647">
        <v>1.5444356390807201</v>
      </c>
      <c r="I647">
        <v>1.4685965630114566</v>
      </c>
      <c r="J647">
        <v>1.5146979648971681</v>
      </c>
      <c r="K647">
        <v>1.4093077493904378</v>
      </c>
    </row>
    <row r="648" spans="1:11" x14ac:dyDescent="0.3">
      <c r="A648" s="1" t="str">
        <f>HYPERLINK("[.\tse_pressure_data\3669.xlsx]3669!$A268","﻿圓展            ")</f>
        <v xml:space="preserve">﻿圓展            </v>
      </c>
      <c r="B648">
        <v>0.90749756572541385</v>
      </c>
      <c r="C648">
        <v>0.89615784008307375</v>
      </c>
      <c r="D648">
        <v>0.8340248962655602</v>
      </c>
      <c r="E648">
        <v>0.89269911504424782</v>
      </c>
      <c r="F648">
        <v>0.8323765786452354</v>
      </c>
      <c r="G648">
        <v>0.76184971098265897</v>
      </c>
      <c r="H648">
        <v>0.74912485414235708</v>
      </c>
      <c r="I648">
        <v>0.72578616352201253</v>
      </c>
      <c r="J648">
        <v>0.74151436031331597</v>
      </c>
      <c r="K648">
        <v>0.81765834932821502</v>
      </c>
    </row>
    <row r="649" spans="1:11" x14ac:dyDescent="0.3">
      <c r="A649" s="1" t="str">
        <f>HYPERLINK("[.\tse_pressure_data\3673.xlsx]3673!$A268","﻿F-TPK           ")</f>
        <v xml:space="preserve">﻿F-TPK           </v>
      </c>
      <c r="B649">
        <v>0.72085985599499114</v>
      </c>
      <c r="C649">
        <v>0.82504638605708092</v>
      </c>
      <c r="D649">
        <v>0.68709903498840907</v>
      </c>
      <c r="E649">
        <v>0.77494102374405005</v>
      </c>
      <c r="F649">
        <v>0.81376946242070869</v>
      </c>
      <c r="G649">
        <v>0.84836573830793482</v>
      </c>
      <c r="H649">
        <v>1.2721268909460375</v>
      </c>
      <c r="I649">
        <v>1.1733883591859968</v>
      </c>
      <c r="J649">
        <v>1.3536740900618072</v>
      </c>
      <c r="K649">
        <v>1.4871794871794872</v>
      </c>
    </row>
    <row r="650" spans="1:11" x14ac:dyDescent="0.3">
      <c r="A650" s="1" t="str">
        <f>HYPERLINK("[.\tse_pressure_data\3679.xlsx]3679!$A268","﻿新至陞          ")</f>
        <v xml:space="preserve">﻿新至陞          </v>
      </c>
      <c r="B650">
        <v>2.3834586466165413</v>
      </c>
      <c r="C650">
        <v>2.5684210526315789</v>
      </c>
      <c r="D650">
        <v>2.5168831168831169</v>
      </c>
      <c r="E650">
        <v>2.4064837905236907</v>
      </c>
      <c r="F650">
        <v>2.3926829268292682</v>
      </c>
      <c r="G650">
        <v>2.3743961352657004</v>
      </c>
      <c r="H650">
        <v>2.2943820224719103</v>
      </c>
      <c r="I650">
        <v>2.1890109890109892</v>
      </c>
      <c r="J650">
        <v>2.261744966442953</v>
      </c>
      <c r="K650">
        <v>2.1787234042553192</v>
      </c>
    </row>
    <row r="651" spans="1:11" x14ac:dyDescent="0.3">
      <c r="A651" s="1" t="str">
        <f>HYPERLINK("[.\tse_pressure_data\3682.xlsx]3682!$A268","﻿亞太電          ")</f>
        <v xml:space="preserve">﻿亞太電          </v>
      </c>
      <c r="B651">
        <v>1.0650469064653973</v>
      </c>
      <c r="C651">
        <v>1.0762172660906839</v>
      </c>
      <c r="D651">
        <v>1.051526192211157</v>
      </c>
      <c r="E651">
        <v>1.2378681626928472</v>
      </c>
      <c r="F651">
        <v>1.0493368910493501</v>
      </c>
      <c r="G651">
        <v>0.93784952787084985</v>
      </c>
      <c r="H651">
        <v>0.93042328978888611</v>
      </c>
      <c r="I651">
        <v>0.90412191685119181</v>
      </c>
      <c r="J651">
        <v>0.88776915224461694</v>
      </c>
      <c r="K651">
        <v>0.93337280017221891</v>
      </c>
    </row>
    <row r="652" spans="1:11" x14ac:dyDescent="0.3">
      <c r="A652" s="1" t="str">
        <f>HYPERLINK("[.\tse_pressure_data\3686.xlsx]3686!$A268","﻿達能            ")</f>
        <v xml:space="preserve">﻿達能            </v>
      </c>
      <c r="B652">
        <v>1.1871941960519656</v>
      </c>
      <c r="C652">
        <v>0.99496644295302017</v>
      </c>
      <c r="D652">
        <v>1.1527446300715991</v>
      </c>
      <c r="E652">
        <v>1.0346355215465164</v>
      </c>
      <c r="F652">
        <v>1.0620696849572293</v>
      </c>
      <c r="G652">
        <v>1.0609904047645307</v>
      </c>
      <c r="H652">
        <v>1.1190695532012898</v>
      </c>
      <c r="I652">
        <v>1.1637326111042718</v>
      </c>
      <c r="J652">
        <v>1.3391514842655114</v>
      </c>
      <c r="K652">
        <v>1.0113517122960984</v>
      </c>
    </row>
    <row r="653" spans="1:11" x14ac:dyDescent="0.3">
      <c r="A653" s="1" t="str">
        <f>HYPERLINK("[.\tse_pressure_data\3694.xlsx]3694!$A268","﻿海華            ")</f>
        <v xml:space="preserve">﻿海華            </v>
      </c>
      <c r="B653">
        <v>0.85681728101466503</v>
      </c>
      <c r="C653">
        <v>0.85318235064427961</v>
      </c>
      <c r="D653">
        <v>0.87526313212904494</v>
      </c>
      <c r="E653">
        <v>0.84899280228008311</v>
      </c>
      <c r="F653">
        <v>0.85434038656191258</v>
      </c>
      <c r="G653">
        <v>0.85847335573691785</v>
      </c>
      <c r="H653">
        <v>0.88158471809366012</v>
      </c>
      <c r="I653">
        <v>0.84243648147278449</v>
      </c>
      <c r="J653">
        <v>0.82138633675975625</v>
      </c>
      <c r="K653">
        <v>0.86874690440812286</v>
      </c>
    </row>
    <row r="654" spans="1:11" x14ac:dyDescent="0.3">
      <c r="A654" s="1" t="str">
        <f>HYPERLINK("[.\tse_pressure_data\3698.xlsx]3698!$A268","﻿隆達            ")</f>
        <v xml:space="preserve">﻿隆達            </v>
      </c>
      <c r="B654">
        <v>1.4006687836797536</v>
      </c>
      <c r="C654">
        <v>1.4686983617392946</v>
      </c>
      <c r="D654">
        <v>1.4971637048370012</v>
      </c>
      <c r="E654">
        <v>1.4157854010833117</v>
      </c>
      <c r="F654">
        <v>1.4747049728946904</v>
      </c>
      <c r="G654">
        <v>1.3076415536610353</v>
      </c>
      <c r="H654">
        <v>1.3570550494249196</v>
      </c>
      <c r="I654">
        <v>1.2807433453723887</v>
      </c>
      <c r="J654">
        <v>1.3469665985003407</v>
      </c>
      <c r="K654">
        <v>1.3663467613345768</v>
      </c>
    </row>
    <row r="655" spans="1:11" x14ac:dyDescent="0.3">
      <c r="A655" s="1" t="str">
        <f>HYPERLINK("[.\tse_pressure_data\3701.xlsx]3701!$A268","﻿大眾控          ")</f>
        <v xml:space="preserve">﻿大眾控          </v>
      </c>
      <c r="B655">
        <v>0.65408805031446537</v>
      </c>
      <c r="C655">
        <v>0.73885350318471332</v>
      </c>
      <c r="D655">
        <v>0.68571428571428572</v>
      </c>
      <c r="E655">
        <v>0.68444444444444441</v>
      </c>
      <c r="F655">
        <v>0.73972602739726023</v>
      </c>
      <c r="G655">
        <v>0.70539419087136934</v>
      </c>
      <c r="H655">
        <v>0.69111969111969107</v>
      </c>
      <c r="I655">
        <v>0.84926470588235292</v>
      </c>
      <c r="J655">
        <v>0.81159420289855078</v>
      </c>
      <c r="K655">
        <v>0.52554744525547448</v>
      </c>
    </row>
    <row r="656" spans="1:11" x14ac:dyDescent="0.3">
      <c r="A656" s="1" t="str">
        <f>HYPERLINK("[.\tse_pressure_data\3702.xlsx]3702!$A268","﻿大聯大          ")</f>
        <v xml:space="preserve">﻿大聯大          </v>
      </c>
      <c r="B656">
        <v>1.2063974151857835</v>
      </c>
      <c r="C656">
        <v>1.1390427215189873</v>
      </c>
      <c r="D656">
        <v>1.0936510076160948</v>
      </c>
      <c r="E656">
        <v>1.128459687123947</v>
      </c>
      <c r="F656">
        <v>1.1272118762012062</v>
      </c>
      <c r="G656">
        <v>1.1512021614966312</v>
      </c>
      <c r="H656">
        <v>1.1676225982219672</v>
      </c>
      <c r="I656">
        <v>1.1017474736419686</v>
      </c>
      <c r="J656">
        <v>0.95</v>
      </c>
      <c r="K656">
        <v>0.91288702301521851</v>
      </c>
    </row>
    <row r="657" spans="1:11" x14ac:dyDescent="0.3">
      <c r="A657" s="1" t="str">
        <f>HYPERLINK("[.\tse_pressure_data\3703.xlsx]3703!$A268","﻿欣陸            ")</f>
        <v xml:space="preserve">﻿欣陸            </v>
      </c>
      <c r="B657">
        <v>1.2223942707829285</v>
      </c>
      <c r="C657">
        <v>1.1699303332705706</v>
      </c>
      <c r="D657">
        <v>1.0719625365183021</v>
      </c>
      <c r="E657">
        <v>1.0681769517365423</v>
      </c>
      <c r="F657">
        <v>1.073672990833511</v>
      </c>
      <c r="G657">
        <v>1.0866869037294016</v>
      </c>
      <c r="H657">
        <v>1.1133824892931254</v>
      </c>
      <c r="I657">
        <v>1.0431683882899545</v>
      </c>
      <c r="J657">
        <v>0.87374811663564655</v>
      </c>
      <c r="K657">
        <v>0.87388955850185257</v>
      </c>
    </row>
    <row r="658" spans="1:11" x14ac:dyDescent="0.3">
      <c r="A658" s="1" t="str">
        <f>HYPERLINK("[.\tse_pressure_data\3704.xlsx]3704!$A268","﻿合勤控          ")</f>
        <v xml:space="preserve">﻿合勤控          </v>
      </c>
      <c r="B658">
        <v>1.0231750585038122</v>
      </c>
      <c r="C658">
        <v>0.96063845153835048</v>
      </c>
      <c r="D658">
        <v>0.98832457676590779</v>
      </c>
      <c r="E658">
        <v>0.96763824968953172</v>
      </c>
      <c r="F658">
        <v>0.9331086526485457</v>
      </c>
      <c r="G658">
        <v>0.90623859905144111</v>
      </c>
      <c r="H658">
        <v>0.94176956235844234</v>
      </c>
      <c r="I658">
        <v>0.94432673339665374</v>
      </c>
      <c r="J658">
        <v>0.98938688249217377</v>
      </c>
      <c r="K658">
        <v>0.98331781502172566</v>
      </c>
    </row>
    <row r="659" spans="1:11" x14ac:dyDescent="0.3">
      <c r="A659" s="1" t="str">
        <f>HYPERLINK("[.\tse_pressure_data\3705.xlsx]3705!$A268","﻿永信            ")</f>
        <v xml:space="preserve">﻿永信            </v>
      </c>
      <c r="B659">
        <v>0.9833275442862105</v>
      </c>
      <c r="C659">
        <v>0.98469032707028536</v>
      </c>
      <c r="D659">
        <v>0.88397048960429248</v>
      </c>
      <c r="E659">
        <v>1.0276895142986837</v>
      </c>
      <c r="F659">
        <v>1.0358126721763086</v>
      </c>
      <c r="G659">
        <v>1.2</v>
      </c>
      <c r="H659">
        <v>1.2919708029197081</v>
      </c>
      <c r="I659">
        <v>1.2479015109121432</v>
      </c>
      <c r="J659">
        <v>1.193118756936737</v>
      </c>
      <c r="K659">
        <v>1.1554347826086957</v>
      </c>
    </row>
    <row r="660" spans="1:11" x14ac:dyDescent="0.3">
      <c r="A660" s="1" t="str">
        <f>HYPERLINK("[.\tse_pressure_data\3706.xlsx]3706!$A268","﻿神達            ")</f>
        <v xml:space="preserve">﻿神達            </v>
      </c>
      <c r="B660">
        <v>1.6690573182626656</v>
      </c>
      <c r="C660">
        <v>1.6225344036697247</v>
      </c>
      <c r="D660">
        <v>1.7556428445799379</v>
      </c>
      <c r="E660">
        <v>1.7672108290245745</v>
      </c>
      <c r="F660">
        <v>1.7483462755248778</v>
      </c>
      <c r="G660">
        <v>1.7252270261008624</v>
      </c>
      <c r="H660">
        <v>1.7523809523809524</v>
      </c>
      <c r="I660">
        <v>1.7849959069114723</v>
      </c>
      <c r="J660">
        <v>1.6569459172852599</v>
      </c>
      <c r="K660">
        <v>1.8250410060142155</v>
      </c>
    </row>
    <row r="661" spans="1:11" x14ac:dyDescent="0.3">
      <c r="A661" s="1" t="str">
        <f>HYPERLINK("[.\tse_pressure_data\3708.xlsx]3708!$A268","﻿上緯            ")</f>
        <v xml:space="preserve">﻿上緯            </v>
      </c>
      <c r="B661">
        <v>1.0496734431055101</v>
      </c>
      <c r="C661">
        <v>1.0270982995362372</v>
      </c>
      <c r="D661">
        <v>1.0836831794010635</v>
      </c>
      <c r="E661">
        <v>1.0717472118959108</v>
      </c>
      <c r="F661">
        <v>1.071334089191232</v>
      </c>
      <c r="G661">
        <v>0.9988780852655198</v>
      </c>
      <c r="H661">
        <v>1.0347294117647059</v>
      </c>
      <c r="I661">
        <v>0.99612842304060434</v>
      </c>
      <c r="J661">
        <v>0.96839134524929449</v>
      </c>
      <c r="K661">
        <v>1.0232951717272274</v>
      </c>
    </row>
    <row r="662" spans="1:11" x14ac:dyDescent="0.3">
      <c r="A662" s="1" t="str">
        <f>HYPERLINK("[.\tse_pressure_data\4104.xlsx]4104!$A268","﻿佳醫            ")</f>
        <v xml:space="preserve">﻿佳醫            </v>
      </c>
      <c r="B662">
        <v>0.99306243805748262</v>
      </c>
      <c r="C662">
        <v>1.0421912215039129</v>
      </c>
      <c r="D662">
        <v>1.0033211557622053</v>
      </c>
      <c r="E662">
        <v>0.92786466645387811</v>
      </c>
      <c r="F662">
        <v>0.86333438785194561</v>
      </c>
      <c r="G662">
        <v>0.85828534868841966</v>
      </c>
      <c r="H662">
        <v>0.92449719749423009</v>
      </c>
      <c r="I662">
        <v>0.9105827193569993</v>
      </c>
      <c r="J662">
        <v>1.0337632776934749</v>
      </c>
      <c r="K662">
        <v>1.0297142857142858</v>
      </c>
    </row>
    <row r="663" spans="1:11" x14ac:dyDescent="0.3">
      <c r="A663" s="1" t="str">
        <f>HYPERLINK("[.\tse_pressure_data\4106.xlsx]4106!$A268","﻿雃博            ")</f>
        <v xml:space="preserve">﻿雃博            </v>
      </c>
      <c r="B663">
        <v>1.4306569343065694</v>
      </c>
      <c r="C663">
        <v>1.3503649635036497</v>
      </c>
      <c r="D663">
        <v>1.3312655086848635</v>
      </c>
      <c r="E663">
        <v>1.2286729857819905</v>
      </c>
      <c r="F663">
        <v>1.1887640449438202</v>
      </c>
      <c r="G663">
        <v>1.2571428571428571</v>
      </c>
      <c r="H663">
        <v>1.2332535885167464</v>
      </c>
      <c r="I663">
        <v>1.2004773269689737</v>
      </c>
      <c r="J663">
        <v>1.1252927400468384</v>
      </c>
      <c r="K663">
        <v>1.0965842167255595</v>
      </c>
    </row>
    <row r="664" spans="1:11" x14ac:dyDescent="0.3">
      <c r="A664" s="1" t="str">
        <f>HYPERLINK("[.\tse_pressure_data\4108.xlsx]4108!$A268","﻿懷特            ")</f>
        <v xml:space="preserve">﻿懷特            </v>
      </c>
      <c r="B664">
        <v>0.8850729285197062</v>
      </c>
      <c r="C664">
        <v>0.87816521378165213</v>
      </c>
      <c r="D664">
        <v>0.85561774461028195</v>
      </c>
      <c r="E664">
        <v>0.82919633774160728</v>
      </c>
      <c r="F664">
        <v>0.86091152815013405</v>
      </c>
      <c r="G664">
        <v>0.86052998605299857</v>
      </c>
      <c r="H664">
        <v>0.87320444972459232</v>
      </c>
      <c r="I664">
        <v>0.85074953496006123</v>
      </c>
      <c r="J664">
        <v>0.82826831694109848</v>
      </c>
      <c r="K664">
        <v>0.83320122296455668</v>
      </c>
    </row>
    <row r="665" spans="1:11" x14ac:dyDescent="0.3">
      <c r="A665" s="1" t="str">
        <f>HYPERLINK("[.\tse_pressure_data\4119.xlsx]4119!$A268","﻿旭富            ")</f>
        <v xml:space="preserve">﻿旭富            </v>
      </c>
      <c r="B665">
        <v>0.85128205128205126</v>
      </c>
      <c r="C665">
        <v>0.83153770812928507</v>
      </c>
      <c r="D665">
        <v>0.75536480686695284</v>
      </c>
      <c r="E665">
        <v>0.7862595419847328</v>
      </c>
      <c r="F665">
        <v>0.77470558115719401</v>
      </c>
      <c r="G665">
        <v>0.81847133757961787</v>
      </c>
      <c r="H665">
        <v>0.7661072008662696</v>
      </c>
      <c r="I665">
        <v>0.71650917176209006</v>
      </c>
      <c r="J665">
        <v>0.70051049347702776</v>
      </c>
      <c r="K665">
        <v>0.66969869243888569</v>
      </c>
    </row>
    <row r="666" spans="1:11" x14ac:dyDescent="0.3">
      <c r="A666" s="1" t="str">
        <f>HYPERLINK("[.\tse_pressure_data\4133.xlsx]4133!$A268","﻿亞諾法          ")</f>
        <v xml:space="preserve">﻿亞諾法          </v>
      </c>
      <c r="B666">
        <v>1.3775971093044264</v>
      </c>
      <c r="C666">
        <v>1.4416195856873824</v>
      </c>
      <c r="D666">
        <v>1.4646643109540636</v>
      </c>
      <c r="E666">
        <v>1.2352059925093632</v>
      </c>
      <c r="F666">
        <v>1.2293291731669267</v>
      </c>
      <c r="G666">
        <v>1.1742187500000001</v>
      </c>
      <c r="H666">
        <v>1.1264705882352941</v>
      </c>
      <c r="I666">
        <v>1.1102189781021898</v>
      </c>
      <c r="J666">
        <v>1.0408738548273433</v>
      </c>
      <c r="K666">
        <v>0.95380434782608692</v>
      </c>
    </row>
    <row r="667" spans="1:11" x14ac:dyDescent="0.3">
      <c r="A667" s="1" t="str">
        <f>HYPERLINK("[.\tse_pressure_data\4137.xlsx]4137!$A268","﻿F-麗豐          ")</f>
        <v xml:space="preserve">﻿F-麗豐          </v>
      </c>
      <c r="B667">
        <v>1.4988703756001129</v>
      </c>
      <c r="C667">
        <v>1.6442027875631797</v>
      </c>
      <c r="D667">
        <v>1.7174613402061856</v>
      </c>
      <c r="E667">
        <v>1.8297283267001212</v>
      </c>
      <c r="F667">
        <v>1.9045296167247387</v>
      </c>
      <c r="G667">
        <v>1.6890437945143204</v>
      </c>
      <c r="H667">
        <v>1.9260647870425915</v>
      </c>
      <c r="I667">
        <v>2.2776837114798512</v>
      </c>
      <c r="J667">
        <v>1.9167615253272623</v>
      </c>
      <c r="K667">
        <v>1.8540215758568892</v>
      </c>
    </row>
    <row r="668" spans="1:11" x14ac:dyDescent="0.3">
      <c r="A668" s="1" t="str">
        <f>HYPERLINK("[.\tse_pressure_data\4141.xlsx]4141!$A268","﻿F-龍燈          ")</f>
        <v xml:space="preserve">﻿F-龍燈          </v>
      </c>
      <c r="B668">
        <v>1.1313056379821957</v>
      </c>
      <c r="C668">
        <v>1.1280931586608443</v>
      </c>
      <c r="D668">
        <v>1.124113475177305</v>
      </c>
      <c r="E668">
        <v>0.9924146649810367</v>
      </c>
      <c r="F668">
        <v>0.93562030075187974</v>
      </c>
      <c r="G668">
        <v>0.96815589353612164</v>
      </c>
      <c r="H668">
        <v>1.0070257611241218</v>
      </c>
      <c r="I668">
        <v>1.0176072234762981</v>
      </c>
      <c r="J668">
        <v>1.0664916885389326</v>
      </c>
      <c r="K668">
        <v>1.1134065934065933</v>
      </c>
    </row>
    <row r="669" spans="1:11" x14ac:dyDescent="0.3">
      <c r="A669" s="1" t="str">
        <f>HYPERLINK("[.\tse_pressure_data\4142.xlsx]4142!$A268","﻿國光生          ")</f>
        <v xml:space="preserve">﻿國光生          </v>
      </c>
      <c r="B669">
        <v>0.93935281837160756</v>
      </c>
      <c r="C669">
        <v>0.90198571847794184</v>
      </c>
      <c r="D669">
        <v>0.91887876386687795</v>
      </c>
      <c r="E669">
        <v>0.92275532550268768</v>
      </c>
      <c r="F669">
        <v>0.90209790209790208</v>
      </c>
      <c r="G669">
        <v>0.93458958168902917</v>
      </c>
      <c r="H669">
        <v>0.91345427059712769</v>
      </c>
      <c r="I669">
        <v>0.85602978097134452</v>
      </c>
      <c r="J669">
        <v>0.83026923412041476</v>
      </c>
      <c r="K669">
        <v>0.76351241681545201</v>
      </c>
    </row>
    <row r="670" spans="1:11" x14ac:dyDescent="0.3">
      <c r="A670" s="1" t="str">
        <f>HYPERLINK("[.\tse_pressure_data\4144.xlsx]4144!$A268","﻿F-康聯          ")</f>
        <v xml:space="preserve">﻿F-康聯          </v>
      </c>
      <c r="B670">
        <v>0.80128617363344057</v>
      </c>
      <c r="C670">
        <v>0.81898907103825136</v>
      </c>
      <c r="D670">
        <v>0.89317995069843881</v>
      </c>
      <c r="E670">
        <v>0.88786610878661087</v>
      </c>
      <c r="F670">
        <v>0.94137638062871709</v>
      </c>
      <c r="G670">
        <v>0.95318021201413428</v>
      </c>
      <c r="H670">
        <v>0.98094373865698725</v>
      </c>
      <c r="I670">
        <v>0.90867992766726946</v>
      </c>
      <c r="J670">
        <v>0.77424892703862658</v>
      </c>
      <c r="K670">
        <v>0.72664359861591699</v>
      </c>
    </row>
    <row r="671" spans="1:11" x14ac:dyDescent="0.3">
      <c r="A671" s="1" t="str">
        <f>HYPERLINK("[.\tse_pressure_data\4164.xlsx]4164!$A268","﻿承業醫          ")</f>
        <v xml:space="preserve">﻿承業醫          </v>
      </c>
      <c r="B671">
        <v>1.3651226158038148</v>
      </c>
      <c r="C671">
        <v>1.4431709646609361</v>
      </c>
      <c r="D671">
        <v>1.3379247015610651</v>
      </c>
      <c r="E671">
        <v>1.3087188612099645</v>
      </c>
      <c r="F671">
        <v>1.34720908230842</v>
      </c>
      <c r="G671">
        <v>1.3298774740810555</v>
      </c>
      <c r="H671">
        <v>1.3423255813953487</v>
      </c>
      <c r="I671">
        <v>1.5270018621973929</v>
      </c>
      <c r="J671">
        <v>1.4679144385026739</v>
      </c>
      <c r="K671">
        <v>1.4005305039787799</v>
      </c>
    </row>
    <row r="672" spans="1:11" x14ac:dyDescent="0.3">
      <c r="A672" s="1" t="str">
        <f>HYPERLINK("[.\tse_pressure_data\4190.xlsx]4190!$A268","﻿F-佐登          ")</f>
        <v xml:space="preserve">﻿F-佐登          </v>
      </c>
      <c r="B672">
        <v>0.76721970839617903</v>
      </c>
      <c r="C672">
        <v>0.78603716725263684</v>
      </c>
      <c r="D672">
        <v>0.76124567474048443</v>
      </c>
      <c r="E672">
        <v>0.77213930348258708</v>
      </c>
      <c r="F672">
        <v>0.76133532635774792</v>
      </c>
      <c r="G672">
        <v>0.72668968919585597</v>
      </c>
      <c r="H672">
        <v>0.76109725685785534</v>
      </c>
      <c r="I672">
        <v>0.77300303336703746</v>
      </c>
      <c r="J672">
        <v>0.7756024096385542</v>
      </c>
      <c r="K672">
        <v>0.76389572060993605</v>
      </c>
    </row>
    <row r="673" spans="1:11" x14ac:dyDescent="0.3">
      <c r="A673" s="1" t="str">
        <f>HYPERLINK("[.\tse_pressure_data\4306.xlsx]4306!$A268","﻿炎洲            ")</f>
        <v xml:space="preserve">﻿炎洲            </v>
      </c>
      <c r="B673">
        <v>0.90136182379053498</v>
      </c>
      <c r="C673">
        <v>0.82649755290549387</v>
      </c>
      <c r="D673">
        <v>0.79906448379552286</v>
      </c>
      <c r="E673">
        <v>0.78901945163646015</v>
      </c>
      <c r="F673">
        <v>0.82884679295446995</v>
      </c>
      <c r="G673">
        <v>0.82971829123131857</v>
      </c>
      <c r="H673">
        <v>0.83995004601025369</v>
      </c>
      <c r="I673">
        <v>0.83392879928544084</v>
      </c>
      <c r="J673">
        <v>0.75849097748459904</v>
      </c>
      <c r="K673">
        <v>0.7388047549259078</v>
      </c>
    </row>
    <row r="674" spans="1:11" x14ac:dyDescent="0.3">
      <c r="A674" s="1" t="str">
        <f>HYPERLINK("[.\tse_pressure_data\4414.xlsx]4414!$A268","﻿如興            ")</f>
        <v xml:space="preserve">﻿如興            </v>
      </c>
      <c r="B674">
        <v>0.69669907302735701</v>
      </c>
      <c r="C674">
        <v>0.70297418921015875</v>
      </c>
      <c r="D674">
        <v>0.6915550125287333</v>
      </c>
      <c r="E674">
        <v>0.68589823082010581</v>
      </c>
      <c r="F674">
        <v>0.6541096924145009</v>
      </c>
      <c r="G674">
        <v>0.62543092424939906</v>
      </c>
      <c r="H674">
        <v>0.67315170786292777</v>
      </c>
      <c r="I674">
        <v>0.62865103004632095</v>
      </c>
      <c r="J674">
        <v>0.59231087653937697</v>
      </c>
      <c r="K674">
        <v>0.96997506652418963</v>
      </c>
    </row>
    <row r="675" spans="1:11" x14ac:dyDescent="0.3">
      <c r="A675" s="1" t="str">
        <f>HYPERLINK("[.\tse_pressure_data\4426.xlsx]4426!$A268","﻿利勤            ")</f>
        <v xml:space="preserve">﻿利勤            </v>
      </c>
      <c r="B675">
        <v>1.6060136391816491</v>
      </c>
      <c r="C675">
        <v>1.5378573672635878</v>
      </c>
      <c r="D675">
        <v>1.9673629242819843</v>
      </c>
      <c r="E675">
        <v>1.934018851756641</v>
      </c>
      <c r="F675">
        <v>1.9239363987967339</v>
      </c>
      <c r="G675">
        <v>1.8665533361665958</v>
      </c>
      <c r="H675">
        <v>1.870777027027027</v>
      </c>
      <c r="I675">
        <v>1.8635593220338984</v>
      </c>
      <c r="J675">
        <v>1.8299825174825175</v>
      </c>
      <c r="K675">
        <v>1.8831400535236396</v>
      </c>
    </row>
    <row r="676" spans="1:11" x14ac:dyDescent="0.3">
      <c r="A676" s="1" t="str">
        <f>HYPERLINK("[.\tse_pressure_data\4526.xlsx]4526!$A268","﻿東台            ")</f>
        <v xml:space="preserve">﻿東台            </v>
      </c>
      <c r="B676">
        <v>1.0725925925925925</v>
      </c>
      <c r="C676">
        <v>1.10586011342155</v>
      </c>
      <c r="D676">
        <v>1.0526315789473684</v>
      </c>
      <c r="E676">
        <v>1.0126656274356975</v>
      </c>
      <c r="F676">
        <v>1.0083625048619214</v>
      </c>
      <c r="G676">
        <v>1.0350806451612904</v>
      </c>
      <c r="H676">
        <v>0.93934459596987585</v>
      </c>
      <c r="I676">
        <v>0.93395252837977294</v>
      </c>
      <c r="J676">
        <v>0.87781217750258</v>
      </c>
      <c r="K676">
        <v>0.76190476190476186</v>
      </c>
    </row>
    <row r="677" spans="1:11" x14ac:dyDescent="0.3">
      <c r="A677" s="1" t="str">
        <f>HYPERLINK("[.\tse_pressure_data\4532.xlsx]4532!$A268","﻿瑞智            ")</f>
        <v xml:space="preserve">﻿瑞智            </v>
      </c>
      <c r="B677">
        <v>1.0666240409207162</v>
      </c>
      <c r="C677">
        <v>0.84979270755820135</v>
      </c>
      <c r="D677">
        <v>0.80554969402827603</v>
      </c>
      <c r="E677">
        <v>0.76895684960201094</v>
      </c>
      <c r="F677">
        <v>0.7807017543859649</v>
      </c>
      <c r="G677">
        <v>0.70860996943829702</v>
      </c>
      <c r="H677">
        <v>0.78361204013377928</v>
      </c>
      <c r="I677">
        <v>0.74028131576032785</v>
      </c>
      <c r="J677">
        <v>0.70343600578227505</v>
      </c>
      <c r="K677">
        <v>0.69231632080762762</v>
      </c>
    </row>
    <row r="678" spans="1:11" x14ac:dyDescent="0.3">
      <c r="A678" s="1" t="str">
        <f>HYPERLINK("[.\tse_pressure_data\4536.xlsx]4536!$A268","﻿拓凱            ")</f>
        <v xml:space="preserve">﻿拓凱            </v>
      </c>
      <c r="B678">
        <v>1.5044642857142858</v>
      </c>
      <c r="C678">
        <v>1.506726457399103</v>
      </c>
      <c r="D678">
        <v>1.3842794759825328</v>
      </c>
      <c r="E678">
        <v>1.263157894736842</v>
      </c>
      <c r="F678">
        <v>1.4259259259259258</v>
      </c>
      <c r="G678">
        <v>1.3302325581395349</v>
      </c>
      <c r="H678">
        <v>1.4193548387096775</v>
      </c>
      <c r="I678">
        <v>1.2231075697211156</v>
      </c>
      <c r="J678">
        <v>1.143939393939394</v>
      </c>
      <c r="K678">
        <v>1.1490196078431372</v>
      </c>
    </row>
    <row r="679" spans="1:11" x14ac:dyDescent="0.3">
      <c r="A679" s="1" t="str">
        <f>HYPERLINK("[.\tse_pressure_data\4545.xlsx]4545!$A268","﻿銘鈺            ")</f>
        <v xml:space="preserve">﻿銘鈺            </v>
      </c>
      <c r="B679">
        <v>2.0084439083232812</v>
      </c>
      <c r="C679">
        <v>1.4060650887573964</v>
      </c>
      <c r="D679">
        <v>1.2910238429172511</v>
      </c>
      <c r="E679">
        <v>1.2557046979865771</v>
      </c>
      <c r="F679">
        <v>1.2475116124751162</v>
      </c>
      <c r="G679">
        <v>1.259106529209622</v>
      </c>
      <c r="H679">
        <v>1.2224409448818898</v>
      </c>
      <c r="I679">
        <v>1.1387808041504539</v>
      </c>
      <c r="J679">
        <v>1.1599216710182767</v>
      </c>
      <c r="K679">
        <v>1.1488250652741514</v>
      </c>
    </row>
    <row r="680" spans="1:11" x14ac:dyDescent="0.3">
      <c r="A680" s="1" t="str">
        <f>HYPERLINK("[.\tse_pressure_data\4551.xlsx]4551!$A268","﻿智伸科          ")</f>
        <v xml:space="preserve">﻿智伸科          </v>
      </c>
      <c r="B680">
        <v>0.90073206442166909</v>
      </c>
      <c r="C680">
        <v>0.96168108776266992</v>
      </c>
      <c r="D680">
        <v>0.9431889516635279</v>
      </c>
      <c r="E680">
        <v>0.86805339956535232</v>
      </c>
      <c r="F680">
        <v>0.89864428663653972</v>
      </c>
      <c r="G680">
        <v>0.85193621867881553</v>
      </c>
      <c r="H680">
        <v>0.88756388415672915</v>
      </c>
      <c r="I680">
        <v>0.86714480874316935</v>
      </c>
      <c r="J680">
        <v>0.88831258644536648</v>
      </c>
      <c r="K680">
        <v>0.8967696629213483</v>
      </c>
    </row>
    <row r="681" spans="1:11" x14ac:dyDescent="0.3">
      <c r="A681" s="1" t="str">
        <f>HYPERLINK("[.\tse_pressure_data\4555.xlsx]4555!$A268","﻿氣立            ")</f>
        <v xml:space="preserve">﻿氣立            </v>
      </c>
      <c r="B681">
        <v>0.97959183673469385</v>
      </c>
      <c r="C681">
        <v>0.97487437185929648</v>
      </c>
      <c r="D681">
        <v>0.97493734335839599</v>
      </c>
      <c r="E681">
        <v>0.89104116222760288</v>
      </c>
      <c r="F681">
        <v>0.85496183206106868</v>
      </c>
      <c r="G681">
        <v>0.80474934036939316</v>
      </c>
      <c r="H681">
        <v>1.1136363636363635</v>
      </c>
      <c r="I681">
        <v>1.2222222222222223</v>
      </c>
      <c r="J681">
        <v>1.095808383233533</v>
      </c>
      <c r="K681">
        <v>1.4227642276422765</v>
      </c>
    </row>
    <row r="682" spans="1:11" x14ac:dyDescent="0.3">
      <c r="A682" s="1" t="str">
        <f>HYPERLINK("[.\tse_pressure_data\4557.xlsx]4557!$A268","﻿F-永新          ")</f>
        <v xml:space="preserve">﻿F-永新          </v>
      </c>
      <c r="B682">
        <v>0.82644628099173556</v>
      </c>
      <c r="C682">
        <v>0.82786885245901642</v>
      </c>
      <c r="D682">
        <v>0.81420765027322406</v>
      </c>
      <c r="E682">
        <v>0.686777920410783</v>
      </c>
      <c r="F682">
        <v>0.75312066574202496</v>
      </c>
      <c r="G682">
        <v>0.77531206657420249</v>
      </c>
      <c r="H682">
        <v>0.81402002861230327</v>
      </c>
      <c r="I682">
        <v>0.76671214188267389</v>
      </c>
      <c r="J682">
        <v>0.74025974025974028</v>
      </c>
      <c r="K682">
        <v>0.77410468319559234</v>
      </c>
    </row>
    <row r="683" spans="1:11" x14ac:dyDescent="0.3">
      <c r="A683" s="1" t="str">
        <f>HYPERLINK("[.\tse_pressure_data\4720.xlsx]4720!$A268","﻿德淵            ")</f>
        <v xml:space="preserve">﻿德淵            </v>
      </c>
      <c r="B683">
        <v>1.2310536044362292</v>
      </c>
      <c r="C683">
        <v>1.3001841620626151</v>
      </c>
      <c r="D683">
        <v>1.2410071942446044</v>
      </c>
      <c r="E683">
        <v>1.2050359712230216</v>
      </c>
      <c r="F683">
        <v>1.1664025356576861</v>
      </c>
      <c r="G683">
        <v>1.095679012345679</v>
      </c>
      <c r="H683">
        <v>1.0666666666666667</v>
      </c>
      <c r="I683">
        <v>1.0190895741556534</v>
      </c>
      <c r="J683">
        <v>0.94729542302357839</v>
      </c>
      <c r="K683">
        <v>0.91114245416078987</v>
      </c>
    </row>
    <row r="684" spans="1:11" x14ac:dyDescent="0.3">
      <c r="A684" s="1" t="str">
        <f>HYPERLINK("[.\tse_pressure_data\4722.xlsx]4722!$A268","﻿國精化          ")</f>
        <v xml:space="preserve">﻿國精化          </v>
      </c>
      <c r="B684">
        <v>1.6559875583203731</v>
      </c>
      <c r="C684">
        <v>1.7290100250626566</v>
      </c>
      <c r="D684">
        <v>1.5052631578947369</v>
      </c>
      <c r="E684">
        <v>1.3985565356856455</v>
      </c>
      <c r="F684">
        <v>1.3234919826927971</v>
      </c>
      <c r="G684">
        <v>1.0763546798029557</v>
      </c>
      <c r="H684">
        <v>1.1579554189085319</v>
      </c>
      <c r="I684">
        <v>1.1680430190128672</v>
      </c>
      <c r="J684">
        <v>1.2661845730027548</v>
      </c>
      <c r="K684">
        <v>1.0493411830670032</v>
      </c>
    </row>
    <row r="685" spans="1:11" x14ac:dyDescent="0.3">
      <c r="A685" s="1" t="str">
        <f>HYPERLINK("[.\tse_pressure_data\4725.xlsx]4725!$A268","﻿信昌化          ")</f>
        <v xml:space="preserve">﻿信昌化          </v>
      </c>
      <c r="B685">
        <v>0.75931941601186614</v>
      </c>
      <c r="C685">
        <v>0.74959448746874813</v>
      </c>
      <c r="D685">
        <v>0.71448733413751508</v>
      </c>
      <c r="E685">
        <v>0.70239503075912324</v>
      </c>
      <c r="F685">
        <v>0.71598445564095958</v>
      </c>
      <c r="G685">
        <v>0.69033412887828161</v>
      </c>
      <c r="H685">
        <v>0.69368807339449545</v>
      </c>
      <c r="I685">
        <v>0.69479885828596522</v>
      </c>
      <c r="J685">
        <v>0.66576782899921194</v>
      </c>
      <c r="K685">
        <v>0.69593219899698056</v>
      </c>
    </row>
    <row r="686" spans="1:11" x14ac:dyDescent="0.3">
      <c r="A686" s="1" t="str">
        <f>HYPERLINK("[.\tse_pressure_data\4737.xlsx]4737!$A268","﻿華廣            ")</f>
        <v xml:space="preserve">﻿華廣            </v>
      </c>
      <c r="B686">
        <v>1.2995594713656389</v>
      </c>
      <c r="C686">
        <v>1.3201754385964912</v>
      </c>
      <c r="D686">
        <v>1.3093220338983051</v>
      </c>
      <c r="E686">
        <v>1.4764150943396226</v>
      </c>
      <c r="F686">
        <v>1.408450704225352</v>
      </c>
      <c r="G686">
        <v>1.4407582938388626</v>
      </c>
      <c r="H686">
        <v>1.2086956521739129</v>
      </c>
      <c r="I686">
        <v>1.1224489795918366</v>
      </c>
      <c r="J686">
        <v>1.1311475409836065</v>
      </c>
      <c r="K686">
        <v>1.14453125</v>
      </c>
    </row>
    <row r="687" spans="1:11" x14ac:dyDescent="0.3">
      <c r="A687" s="1" t="str">
        <f>HYPERLINK("[.\tse_pressure_data\4746.xlsx]4746!$A268","﻿台耀            ")</f>
        <v xml:space="preserve">﻿台耀            </v>
      </c>
      <c r="B687">
        <v>2.13993973886843</v>
      </c>
      <c r="C687">
        <v>2.0797381232163841</v>
      </c>
      <c r="D687">
        <v>1.908565176617693</v>
      </c>
      <c r="E687">
        <v>1.8135464231354643</v>
      </c>
      <c r="F687">
        <v>1.8167336838849366</v>
      </c>
      <c r="G687">
        <v>1.8682872577057514</v>
      </c>
      <c r="H687">
        <v>1.824330900243309</v>
      </c>
      <c r="I687">
        <v>1.701311475409836</v>
      </c>
      <c r="J687">
        <v>1.9579641847313856</v>
      </c>
      <c r="K687">
        <v>2.038400945254037</v>
      </c>
    </row>
    <row r="688" spans="1:11" x14ac:dyDescent="0.3">
      <c r="A688" s="1" t="str">
        <f>HYPERLINK("[.\tse_pressure_data\4755.xlsx]4755!$A268","﻿三福化          ")</f>
        <v xml:space="preserve">﻿三福化          </v>
      </c>
      <c r="B688">
        <v>1.6813353566009104</v>
      </c>
      <c r="C688">
        <v>1.3498845265588915</v>
      </c>
      <c r="D688">
        <v>1.2901098901098902</v>
      </c>
      <c r="E688">
        <v>1.2372188139059306</v>
      </c>
      <c r="F688">
        <v>1.2009615384615384</v>
      </c>
      <c r="G688">
        <v>1.263302752293578</v>
      </c>
      <c r="H688">
        <v>1.0955710955710956</v>
      </c>
      <c r="I688">
        <v>1.0382916053019147</v>
      </c>
      <c r="J688">
        <v>1.0267857142857142</v>
      </c>
      <c r="K688">
        <v>0.99122807017543857</v>
      </c>
    </row>
    <row r="689" spans="1:11" x14ac:dyDescent="0.3">
      <c r="A689" s="1" t="str">
        <f>HYPERLINK("[.\tse_pressure_data\4763.xlsx]4763!$A268","﻿F-材料          ")</f>
        <v xml:space="preserve">﻿F-材料          </v>
      </c>
      <c r="B689">
        <v>1.7976470588235294</v>
      </c>
      <c r="C689">
        <v>1.6704545454545454</v>
      </c>
      <c r="D689">
        <v>1.5294117647058822</v>
      </c>
      <c r="E689">
        <v>1.2049335863377608</v>
      </c>
      <c r="F689">
        <v>1.0996503496503496</v>
      </c>
      <c r="G689">
        <v>0.97596153846153844</v>
      </c>
      <c r="H689">
        <v>0.96254071661237783</v>
      </c>
      <c r="I689">
        <v>0.91940298507462681</v>
      </c>
      <c r="J689">
        <v>0.83684210526315794</v>
      </c>
      <c r="K689">
        <v>0.87267904509283822</v>
      </c>
    </row>
    <row r="690" spans="1:11" x14ac:dyDescent="0.3">
      <c r="A690" s="1" t="str">
        <f>HYPERLINK("[.\tse_pressure_data\4904.xlsx]4904!$A268","﻿遠傳            ")</f>
        <v xml:space="preserve">﻿遠傳            </v>
      </c>
      <c r="B690">
        <v>0.8867565382910485</v>
      </c>
      <c r="C690">
        <v>0.83380480905233378</v>
      </c>
      <c r="D690">
        <v>0.83857469257823536</v>
      </c>
      <c r="E690">
        <v>0.74760021224253537</v>
      </c>
      <c r="F690">
        <v>0.72432710040385651</v>
      </c>
      <c r="G690">
        <v>0.72596902008666719</v>
      </c>
      <c r="H690">
        <v>0.58491643696143436</v>
      </c>
      <c r="I690">
        <v>0.59589743589743593</v>
      </c>
      <c r="J690">
        <v>0.59413736649255477</v>
      </c>
      <c r="K690">
        <v>0.64324615799406848</v>
      </c>
    </row>
    <row r="691" spans="1:11" x14ac:dyDescent="0.3">
      <c r="A691" s="1" t="str">
        <f>HYPERLINK("[.\tse_pressure_data\4906.xlsx]4906!$A268","﻿正文            ")</f>
        <v xml:space="preserve">﻿正文            </v>
      </c>
      <c r="B691">
        <v>0.81372102778298394</v>
      </c>
      <c r="C691">
        <v>0.81042319815801322</v>
      </c>
      <c r="D691">
        <v>0.78657590759075913</v>
      </c>
      <c r="E691">
        <v>0.80415603384594725</v>
      </c>
      <c r="F691">
        <v>0.79208186545881565</v>
      </c>
      <c r="G691">
        <v>0.74596140339141781</v>
      </c>
      <c r="H691">
        <v>0.75363590665496583</v>
      </c>
      <c r="I691">
        <v>0.69438958880402324</v>
      </c>
      <c r="J691">
        <v>0.63847421627958278</v>
      </c>
      <c r="K691">
        <v>0.68307643913180249</v>
      </c>
    </row>
    <row r="692" spans="1:11" x14ac:dyDescent="0.3">
      <c r="A692" s="1" t="str">
        <f>HYPERLINK("[.\tse_pressure_data\4912.xlsx]4912!$A268","﻿F-聯德          ")</f>
        <v xml:space="preserve">﻿F-聯德          </v>
      </c>
      <c r="B692">
        <v>1.2872696817420435</v>
      </c>
      <c r="C692">
        <v>1.3056013179571664</v>
      </c>
      <c r="D692">
        <v>1.202152190622598</v>
      </c>
      <c r="E692">
        <v>1.1170212765957446</v>
      </c>
      <c r="F692">
        <v>1.0936199722607489</v>
      </c>
      <c r="G692">
        <v>1.0658350658350659</v>
      </c>
      <c r="H692">
        <v>1.1447552447552447</v>
      </c>
      <c r="I692">
        <v>1.1663128096249116</v>
      </c>
      <c r="J692">
        <v>1.1020408163265305</v>
      </c>
      <c r="K692">
        <v>1.0578947368421052</v>
      </c>
    </row>
    <row r="693" spans="1:11" x14ac:dyDescent="0.3">
      <c r="A693" s="1" t="str">
        <f>HYPERLINK("[.\tse_pressure_data\4915.xlsx]4915!$A268","﻿致伸            ")</f>
        <v xml:space="preserve">﻿致伸            </v>
      </c>
      <c r="B693">
        <v>1.3160422670509127</v>
      </c>
      <c r="C693">
        <v>1.2057256888479546</v>
      </c>
      <c r="D693">
        <v>1.1975095015913235</v>
      </c>
      <c r="E693">
        <v>1.1711973958088799</v>
      </c>
      <c r="F693">
        <v>1.1184950445832169</v>
      </c>
      <c r="G693">
        <v>1.0847728126173488</v>
      </c>
      <c r="H693">
        <v>1.1366696814390513</v>
      </c>
      <c r="I693">
        <v>1.2110614297111264</v>
      </c>
      <c r="J693">
        <v>1.2781087489290481</v>
      </c>
      <c r="K693">
        <v>1.3750351541373715</v>
      </c>
    </row>
    <row r="694" spans="1:11" x14ac:dyDescent="0.3">
      <c r="A694" s="1" t="str">
        <f>HYPERLINK("[.\tse_pressure_data\4916.xlsx]4916!$A268","﻿事欣科          ")</f>
        <v xml:space="preserve">﻿事欣科          </v>
      </c>
      <c r="B694">
        <v>1.6887100829771184</v>
      </c>
      <c r="C694">
        <v>1.5449553877831159</v>
      </c>
      <c r="D694">
        <v>1.4149332165535362</v>
      </c>
      <c r="E694">
        <v>1.3954802259887005</v>
      </c>
      <c r="F694">
        <v>1.3453169347209082</v>
      </c>
      <c r="G694">
        <v>1.1918687589158345</v>
      </c>
      <c r="H694">
        <v>1.2826319543509273</v>
      </c>
      <c r="I694">
        <v>1.3363930885529158</v>
      </c>
      <c r="J694">
        <v>1.2380497131931167</v>
      </c>
      <c r="K694">
        <v>1.1564118184587269</v>
      </c>
    </row>
    <row r="695" spans="1:11" x14ac:dyDescent="0.3">
      <c r="A695" s="1" t="str">
        <f>HYPERLINK("[.\tse_pressure_data\4919.xlsx]4919!$A268","﻿新唐            ")</f>
        <v xml:space="preserve">﻿新唐            </v>
      </c>
      <c r="B695">
        <v>0.81326026487316805</v>
      </c>
      <c r="C695">
        <v>0.84800342527492334</v>
      </c>
      <c r="D695">
        <v>0.59951622232739132</v>
      </c>
      <c r="E695">
        <v>0.92609357474763665</v>
      </c>
      <c r="F695">
        <v>0.98363628122025293</v>
      </c>
      <c r="G695">
        <v>0.95917912112424719</v>
      </c>
      <c r="H695">
        <v>1.0262414210738797</v>
      </c>
      <c r="I695">
        <v>1.0151632087892133</v>
      </c>
      <c r="J695">
        <v>0.97175839154881583</v>
      </c>
      <c r="K695">
        <v>0.86806237983336898</v>
      </c>
    </row>
    <row r="696" spans="1:11" x14ac:dyDescent="0.3">
      <c r="A696" s="1" t="str">
        <f>HYPERLINK("[.\tse_pressure_data\4927.xlsx]4927!$A268","﻿F-泰鼎          ")</f>
        <v xml:space="preserve">﻿F-泰鼎          </v>
      </c>
      <c r="B696">
        <v>1.0133607399794451</v>
      </c>
      <c r="C696">
        <v>1.0977466049843307</v>
      </c>
      <c r="D696">
        <v>0.93257855234702969</v>
      </c>
      <c r="E696">
        <v>0.89848426951980642</v>
      </c>
      <c r="F696">
        <v>0.83071663712332233</v>
      </c>
      <c r="G696">
        <v>0.78958515011835062</v>
      </c>
      <c r="H696">
        <v>0.84878476572287642</v>
      </c>
      <c r="I696">
        <v>0.81431980906921242</v>
      </c>
      <c r="J696">
        <v>0.77843252799057161</v>
      </c>
      <c r="K696">
        <v>0.75695919508105092</v>
      </c>
    </row>
    <row r="697" spans="1:11" x14ac:dyDescent="0.3">
      <c r="A697" s="1" t="str">
        <f>HYPERLINK("[.\tse_pressure_data\4930.xlsx]4930!$A268","﻿燦星網          ")</f>
        <v xml:space="preserve">﻿燦星網          </v>
      </c>
      <c r="B697">
        <v>0.82608695652173914</v>
      </c>
      <c r="C697">
        <v>0.83220973782771535</v>
      </c>
      <c r="D697">
        <v>0.80294117647058827</v>
      </c>
      <c r="E697">
        <v>0.79629629629629628</v>
      </c>
      <c r="F697">
        <v>0.74759437453737976</v>
      </c>
      <c r="G697">
        <v>0.7330922242314647</v>
      </c>
      <c r="H697">
        <v>0.73572474377745245</v>
      </c>
      <c r="I697">
        <v>0.74934235249906045</v>
      </c>
      <c r="J697">
        <v>0.71141172389871665</v>
      </c>
      <c r="K697">
        <v>0.71523178807947019</v>
      </c>
    </row>
    <row r="698" spans="1:11" x14ac:dyDescent="0.3">
      <c r="A698" s="1" t="str">
        <f>HYPERLINK("[.\tse_pressure_data\4934.xlsx]4934!$A268","﻿太極            ")</f>
        <v xml:space="preserve">﻿太極            </v>
      </c>
      <c r="B698">
        <v>1.6090410958904109</v>
      </c>
      <c r="C698">
        <v>1.5166006701187937</v>
      </c>
      <c r="D698">
        <v>1.5806053119209389</v>
      </c>
      <c r="E698">
        <v>1.5034449059369654</v>
      </c>
      <c r="F698">
        <v>1.5579653763859171</v>
      </c>
      <c r="G698">
        <v>1.5332601641534644</v>
      </c>
      <c r="H698">
        <v>1.5724553571428572</v>
      </c>
      <c r="I698">
        <v>1.5351622033529284</v>
      </c>
      <c r="J698">
        <v>1.6126785244896171</v>
      </c>
      <c r="K698">
        <v>1.3669941311559071</v>
      </c>
    </row>
    <row r="699" spans="1:11" x14ac:dyDescent="0.3">
      <c r="A699" s="1" t="str">
        <f>HYPERLINK("[.\tse_pressure_data\4935.xlsx]4935!$A268","﻿F-茂林          ")</f>
        <v xml:space="preserve">﻿F-茂林          </v>
      </c>
      <c r="B699">
        <v>1.6159464394400487</v>
      </c>
      <c r="C699">
        <v>1.7156862745098038</v>
      </c>
      <c r="D699">
        <v>1.6827503015681544</v>
      </c>
      <c r="E699">
        <v>1.6426076833527357</v>
      </c>
      <c r="F699">
        <v>1.7948717948717949</v>
      </c>
      <c r="G699">
        <v>1.0556879094699225</v>
      </c>
      <c r="H699">
        <v>1.1140084899939358</v>
      </c>
      <c r="I699">
        <v>1.0563832895121239</v>
      </c>
      <c r="J699">
        <v>1.1188423645320198</v>
      </c>
      <c r="K699">
        <v>1.1060698957694666</v>
      </c>
    </row>
    <row r="700" spans="1:11" x14ac:dyDescent="0.3">
      <c r="A700" s="1" t="str">
        <f>HYPERLINK("[.\tse_pressure_data\4938.xlsx]4938!$A268","﻿和碩            ")</f>
        <v xml:space="preserve">﻿和碩            </v>
      </c>
      <c r="B700">
        <v>0.75192976101149667</v>
      </c>
      <c r="C700">
        <v>0.71861922054395866</v>
      </c>
      <c r="D700">
        <v>0.7325680471156637</v>
      </c>
      <c r="E700">
        <v>0.7244740695075903</v>
      </c>
      <c r="F700">
        <v>0.68468245507158088</v>
      </c>
      <c r="G700">
        <v>0.73030148706457532</v>
      </c>
      <c r="H700">
        <v>0.75000778145523583</v>
      </c>
      <c r="I700">
        <v>0.77939869339140477</v>
      </c>
      <c r="J700">
        <v>0.7728434796503002</v>
      </c>
      <c r="K700">
        <v>0.83117601105702787</v>
      </c>
    </row>
    <row r="701" spans="1:11" x14ac:dyDescent="0.3">
      <c r="A701" s="1" t="str">
        <f>HYPERLINK("[.\tse_pressure_data\4942.xlsx]4942!$A268","﻿嘉彰            ")</f>
        <v xml:space="preserve">﻿嘉彰            </v>
      </c>
      <c r="B701">
        <v>0.77951807228915659</v>
      </c>
      <c r="C701">
        <v>0.76218787158145063</v>
      </c>
      <c r="D701">
        <v>0.74025974025974028</v>
      </c>
      <c r="E701">
        <v>0.85964912280701755</v>
      </c>
      <c r="F701">
        <v>1.0057887120115774</v>
      </c>
      <c r="G701">
        <v>1.0253968253968253</v>
      </c>
      <c r="H701">
        <v>1.0442477876106195</v>
      </c>
      <c r="I701">
        <v>1.0198555956678701</v>
      </c>
      <c r="J701">
        <v>0.8697123519458545</v>
      </c>
      <c r="K701">
        <v>0.86710963455149503</v>
      </c>
    </row>
    <row r="702" spans="1:11" x14ac:dyDescent="0.3">
      <c r="A702" s="1" t="str">
        <f>HYPERLINK("[.\tse_pressure_data\4952.xlsx]4952!$A268","﻿凌通            ")</f>
        <v xml:space="preserve">﻿凌通            </v>
      </c>
      <c r="B702">
        <v>1.2027064862342511</v>
      </c>
      <c r="C702">
        <v>1.1794687724335966</v>
      </c>
      <c r="D702">
        <v>1.0099358128901785</v>
      </c>
      <c r="E702">
        <v>1.335002328830927</v>
      </c>
      <c r="F702">
        <v>1.1570114245273482</v>
      </c>
      <c r="G702">
        <v>1.1436341659951652</v>
      </c>
      <c r="H702">
        <v>1.2406950442113922</v>
      </c>
      <c r="I702">
        <v>1.2461316278110171</v>
      </c>
      <c r="J702">
        <v>1.2374637380853708</v>
      </c>
      <c r="K702">
        <v>1.3875566360923859</v>
      </c>
    </row>
    <row r="703" spans="1:11" x14ac:dyDescent="0.3">
      <c r="A703" s="1" t="str">
        <f>HYPERLINK("[.\tse_pressure_data\4956.xlsx]4956!$A268","﻿光鋐            ")</f>
        <v xml:space="preserve">﻿光鋐            </v>
      </c>
      <c r="B703">
        <v>1.2824752812819638</v>
      </c>
      <c r="C703">
        <v>1.2117043426531826</v>
      </c>
      <c r="D703">
        <v>1.1669085631349783</v>
      </c>
      <c r="E703">
        <v>1.2260536398467432</v>
      </c>
      <c r="F703">
        <v>1.1354523972863786</v>
      </c>
      <c r="G703">
        <v>1.1343225906175129</v>
      </c>
      <c r="H703">
        <v>1.2046000154882677</v>
      </c>
      <c r="I703">
        <v>1.1749066808867221</v>
      </c>
      <c r="J703">
        <v>1.2019821757836509</v>
      </c>
      <c r="K703">
        <v>1.3406576521204672</v>
      </c>
    </row>
    <row r="704" spans="1:11" x14ac:dyDescent="0.3">
      <c r="A704" s="1" t="str">
        <f>HYPERLINK("[.\tse_pressure_data\4958.xlsx]4958!$A268","﻿F-臻鼎          ")</f>
        <v xml:space="preserve">﻿F-臻鼎          </v>
      </c>
      <c r="B704">
        <v>1.2570839064649244</v>
      </c>
      <c r="C704">
        <v>1.3158837650936974</v>
      </c>
      <c r="D704">
        <v>1.1743998927182513</v>
      </c>
      <c r="E704">
        <v>1.1910173343736219</v>
      </c>
      <c r="F704">
        <v>1.10823210131817</v>
      </c>
      <c r="G704">
        <v>0.98294368021713652</v>
      </c>
      <c r="H704">
        <v>1.280144653004994</v>
      </c>
      <c r="I704">
        <v>1.2903771351259936</v>
      </c>
      <c r="J704">
        <v>1.2019637776698355</v>
      </c>
      <c r="K704">
        <v>1.2204995063443889</v>
      </c>
    </row>
    <row r="705" spans="1:11" x14ac:dyDescent="0.3">
      <c r="A705" s="1" t="str">
        <f>HYPERLINK("[.\tse_pressure_data\4960.xlsx]4960!$A268","﻿奇美材          ")</f>
        <v xml:space="preserve">﻿奇美材          </v>
      </c>
      <c r="B705">
        <v>1.0641819103544421</v>
      </c>
      <c r="C705">
        <v>1.1011185636787413</v>
      </c>
      <c r="D705">
        <v>1.0505726682823862</v>
      </c>
      <c r="E705">
        <v>0.96503028595576845</v>
      </c>
      <c r="F705">
        <v>0.96984281765237379</v>
      </c>
      <c r="G705">
        <v>0.95332602241420816</v>
      </c>
      <c r="H705">
        <v>1.0178727958884266</v>
      </c>
      <c r="I705">
        <v>1.0139115747271512</v>
      </c>
      <c r="J705">
        <v>1.0221433047837893</v>
      </c>
      <c r="K705">
        <v>0.94487511546612091</v>
      </c>
    </row>
    <row r="706" spans="1:11" x14ac:dyDescent="0.3">
      <c r="A706" s="1" t="str">
        <f>HYPERLINK("[.\tse_pressure_data\4968.xlsx]4968!$A268","﻿立積            ")</f>
        <v xml:space="preserve">﻿立積            </v>
      </c>
      <c r="B706">
        <v>1.2541043267286696</v>
      </c>
      <c r="C706">
        <v>1.1648130178398148</v>
      </c>
      <c r="D706">
        <v>1.1403040415276233</v>
      </c>
      <c r="E706">
        <v>1.2037237330037083</v>
      </c>
      <c r="F706">
        <v>1.1983352251229664</v>
      </c>
      <c r="G706">
        <v>1.1709594818496762</v>
      </c>
      <c r="H706">
        <v>1.2086358720840413</v>
      </c>
      <c r="I706">
        <v>1.1598191016403496</v>
      </c>
      <c r="J706">
        <v>1.1497817955112219</v>
      </c>
      <c r="K706">
        <v>1.1885733718755314</v>
      </c>
    </row>
    <row r="707" spans="1:11" x14ac:dyDescent="0.3">
      <c r="A707" s="1" t="str">
        <f>HYPERLINK("[.\tse_pressure_data\4976.xlsx]4976!$A268","﻿佳凌            ")</f>
        <v xml:space="preserve">﻿佳凌            </v>
      </c>
      <c r="B707">
        <v>0.73872458119873019</v>
      </c>
      <c r="C707">
        <v>0.73706617622015602</v>
      </c>
      <c r="D707">
        <v>0.69239156359671539</v>
      </c>
      <c r="E707">
        <v>0.77878012109390871</v>
      </c>
      <c r="F707">
        <v>0.76238068042751084</v>
      </c>
      <c r="G707">
        <v>0.68418286915396742</v>
      </c>
      <c r="H707">
        <v>0.81290431456376211</v>
      </c>
      <c r="I707">
        <v>0.8092109157639259</v>
      </c>
      <c r="J707">
        <v>0.93487546822632583</v>
      </c>
      <c r="K707">
        <v>0.87428994813534211</v>
      </c>
    </row>
    <row r="708" spans="1:11" x14ac:dyDescent="0.3">
      <c r="A708" s="1" t="str">
        <f>HYPERLINK("[.\tse_pressure_data\4977.xlsx]4977!$A268","﻿F-眾達          ")</f>
        <v xml:space="preserve">﻿F-眾達          </v>
      </c>
      <c r="B708">
        <v>1.5487962419260128</v>
      </c>
      <c r="C708">
        <v>1.5601739971000483</v>
      </c>
      <c r="D708">
        <v>1.5300314846209735</v>
      </c>
      <c r="E708">
        <v>1.5093485768726926</v>
      </c>
      <c r="F708">
        <v>1.5410645918241324</v>
      </c>
      <c r="G708">
        <v>1.3649294911097487</v>
      </c>
      <c r="H708">
        <v>1.3665408805031447</v>
      </c>
      <c r="I708">
        <v>1.3070539419087137</v>
      </c>
      <c r="J708">
        <v>1.3278292899784072</v>
      </c>
      <c r="K708">
        <v>1.3153153153153154</v>
      </c>
    </row>
    <row r="709" spans="1:11" x14ac:dyDescent="0.3">
      <c r="A709" s="1" t="str">
        <f>HYPERLINK("[.\tse_pressure_data\4984.xlsx]4984!$A268","﻿F-科納          ")</f>
        <v xml:space="preserve">﻿F-科納          </v>
      </c>
      <c r="B709">
        <v>1.6976744186046511</v>
      </c>
      <c r="C709">
        <v>1.7051070840197693</v>
      </c>
      <c r="D709">
        <v>1.6978378378378378</v>
      </c>
      <c r="E709">
        <v>1.7278481012658229</v>
      </c>
      <c r="F709">
        <v>1.4552631578947368</v>
      </c>
      <c r="G709">
        <v>1.3989769820971867</v>
      </c>
      <c r="H709">
        <v>1.4169477234401349</v>
      </c>
      <c r="I709">
        <v>1.420675105485232</v>
      </c>
      <c r="J709">
        <v>1.4550243111831442</v>
      </c>
      <c r="K709">
        <v>1.4171949286846275</v>
      </c>
    </row>
    <row r="710" spans="1:11" x14ac:dyDescent="0.3">
      <c r="A710" s="1" t="str">
        <f>HYPERLINK("[.\tse_pressure_data\4994.xlsx]4994!$A268","﻿傳奇            ")</f>
        <v xml:space="preserve">﻿傳奇            </v>
      </c>
      <c r="B710">
        <v>1.3584905660377358</v>
      </c>
      <c r="C710">
        <v>1.4814814814814814</v>
      </c>
      <c r="D710">
        <v>1.2222222222222223</v>
      </c>
      <c r="E710">
        <v>1.2129277566539924</v>
      </c>
      <c r="F710">
        <v>1.1895910780669146</v>
      </c>
      <c r="G710">
        <v>1.0890410958904109</v>
      </c>
      <c r="H710">
        <v>1.1087719298245613</v>
      </c>
      <c r="I710">
        <v>1.1352313167259787</v>
      </c>
      <c r="J710">
        <v>1.0851063829787233</v>
      </c>
      <c r="K710">
        <v>1.0936329588014981</v>
      </c>
    </row>
    <row r="711" spans="1:11" x14ac:dyDescent="0.3">
      <c r="A711" s="1" t="str">
        <f>HYPERLINK("[.\tse_pressure_data\4999.xlsx]4999!$A268","﻿鑫禾            ")</f>
        <v xml:space="preserve">﻿鑫禾            </v>
      </c>
      <c r="B711">
        <v>1.8185975609756098</v>
      </c>
      <c r="C711">
        <v>1.9870967741935484</v>
      </c>
      <c r="D711">
        <v>1.6801736613603473</v>
      </c>
      <c r="E711">
        <v>1.6840579710144927</v>
      </c>
      <c r="F711">
        <v>1.6544655929721817</v>
      </c>
      <c r="G711">
        <v>1.7019089574155652</v>
      </c>
      <c r="H711">
        <v>1.701949860724234</v>
      </c>
      <c r="I711">
        <v>1.6231292517006803</v>
      </c>
      <c r="J711">
        <v>1.6680731364275667</v>
      </c>
      <c r="K711">
        <v>1.446060606060606</v>
      </c>
    </row>
    <row r="712" spans="1:11" x14ac:dyDescent="0.3">
      <c r="A712" s="1" t="str">
        <f>HYPERLINK("[.\tse_pressure_data\5007.xlsx]5007!$A268","﻿三星            ")</f>
        <v xml:space="preserve">﻿三星            </v>
      </c>
      <c r="B712">
        <v>2.0528401585204756</v>
      </c>
      <c r="C712">
        <v>1.8469259723964868</v>
      </c>
      <c r="D712">
        <v>1.8778625954198473</v>
      </c>
      <c r="E712">
        <v>1.1860095389507155</v>
      </c>
      <c r="F712">
        <v>1.1177811550151975</v>
      </c>
      <c r="G712">
        <v>1.0736607142857142</v>
      </c>
      <c r="H712">
        <v>1.096774193548387</v>
      </c>
      <c r="I712">
        <v>0.90943113772455086</v>
      </c>
      <c r="J712">
        <v>0.8741159830268741</v>
      </c>
      <c r="K712">
        <v>0.85648452929558916</v>
      </c>
    </row>
    <row r="713" spans="1:11" x14ac:dyDescent="0.3">
      <c r="A713" s="1" t="str">
        <f>HYPERLINK("[.\tse_pressure_data\5203.xlsx]5203!$A268","﻿訊連            ")</f>
        <v xml:space="preserve">﻿訊連            </v>
      </c>
      <c r="B713">
        <v>1.0204678362573099</v>
      </c>
      <c r="C713">
        <v>0.9378585086042065</v>
      </c>
      <c r="D713">
        <v>0.8753568030447193</v>
      </c>
      <c r="E713">
        <v>0.84745762711864403</v>
      </c>
      <c r="F713">
        <v>0.80862068965517242</v>
      </c>
      <c r="G713">
        <v>0.81118881118881114</v>
      </c>
      <c r="H713">
        <v>0.82978723404255317</v>
      </c>
      <c r="I713">
        <v>0.80803212851405626</v>
      </c>
      <c r="J713">
        <v>0.7972085385878489</v>
      </c>
      <c r="K713">
        <v>0.85098743267504484</v>
      </c>
    </row>
    <row r="714" spans="1:11" x14ac:dyDescent="0.3">
      <c r="A714" s="1" t="str">
        <f>HYPERLINK("[.\tse_pressure_data\5215.xlsx]5215!$A268","﻿F-科嘉          ")</f>
        <v xml:space="preserve">﻿F-科嘉          </v>
      </c>
      <c r="B714">
        <v>1.1345338983050848</v>
      </c>
      <c r="C714">
        <v>1.0733471074380165</v>
      </c>
      <c r="D714">
        <v>1.0788934426229508</v>
      </c>
      <c r="E714">
        <v>1.0797927461139896</v>
      </c>
      <c r="F714">
        <v>1.0987261146496816</v>
      </c>
      <c r="G714">
        <v>1.0746268656716418</v>
      </c>
      <c r="H714">
        <v>1.1015118790496761</v>
      </c>
      <c r="I714">
        <v>1.0861141011840689</v>
      </c>
      <c r="J714">
        <v>1.0535248041775458</v>
      </c>
      <c r="K714">
        <v>1.0426356589147288</v>
      </c>
    </row>
    <row r="715" spans="1:11" x14ac:dyDescent="0.3">
      <c r="A715" s="1" t="str">
        <f>HYPERLINK("[.\tse_pressure_data\5225.xlsx]5225!$A268","﻿F-東科          ")</f>
        <v xml:space="preserve">﻿F-東科          </v>
      </c>
      <c r="B715">
        <v>0.84343434343434343</v>
      </c>
      <c r="C715">
        <v>0.90909090909090906</v>
      </c>
      <c r="D715">
        <v>0.99465240641711228</v>
      </c>
      <c r="E715">
        <v>0.9455445544554455</v>
      </c>
      <c r="F715">
        <v>0.86425339366515841</v>
      </c>
      <c r="G715">
        <v>0.75502008032128509</v>
      </c>
      <c r="H715">
        <v>0.68965517241379315</v>
      </c>
      <c r="I715">
        <v>0.66666666666666663</v>
      </c>
      <c r="J715">
        <v>0.72932330827067671</v>
      </c>
      <c r="K715">
        <v>0.72499999999999998</v>
      </c>
    </row>
    <row r="716" spans="1:11" x14ac:dyDescent="0.3">
      <c r="A716" s="1" t="str">
        <f>HYPERLINK("[.\tse_pressure_data\5234.xlsx]5234!$A268","﻿達興            ")</f>
        <v xml:space="preserve">﻿達興            </v>
      </c>
      <c r="B716">
        <v>0.84541030147357032</v>
      </c>
      <c r="C716">
        <v>0.67632027257240201</v>
      </c>
      <c r="D716">
        <v>0.62912957601666708</v>
      </c>
      <c r="E716">
        <v>0.64389137799147633</v>
      </c>
      <c r="F716">
        <v>0.62375651986879599</v>
      </c>
      <c r="G716">
        <v>0.60199018247785718</v>
      </c>
      <c r="H716">
        <v>0.62212450185516011</v>
      </c>
      <c r="I716">
        <v>0.61931260229132568</v>
      </c>
      <c r="J716">
        <v>0.58842683297000464</v>
      </c>
      <c r="K716">
        <v>0.62225989708812945</v>
      </c>
    </row>
    <row r="717" spans="1:11" x14ac:dyDescent="0.3">
      <c r="A717" s="1" t="str">
        <f>HYPERLINK("[.\tse_pressure_data\5243.xlsx]5243!$A268","﻿F-乙盛          ")</f>
        <v xml:space="preserve">﻿F-乙盛          </v>
      </c>
      <c r="B717">
        <v>1.5758299798792756</v>
      </c>
      <c r="C717">
        <v>1.4359273066169618</v>
      </c>
      <c r="D717">
        <v>1.366382291906848</v>
      </c>
      <c r="E717">
        <v>1.3575463172164484</v>
      </c>
      <c r="F717">
        <v>1.2973464583779157</v>
      </c>
      <c r="G717">
        <v>1.2326471500982725</v>
      </c>
      <c r="H717">
        <v>1.3504857478381551</v>
      </c>
      <c r="I717">
        <v>1.3745234357479255</v>
      </c>
      <c r="J717">
        <v>1.3614471201864389</v>
      </c>
      <c r="K717">
        <v>1.4108188813598255</v>
      </c>
    </row>
    <row r="718" spans="1:11" x14ac:dyDescent="0.3">
      <c r="A718" s="1" t="str">
        <f>HYPERLINK("[.\tse_pressure_data\5259.xlsx]5259!$A268","﻿清惠            ")</f>
        <v xml:space="preserve">﻿清惠            </v>
      </c>
      <c r="B718">
        <v>0.620253164556962</v>
      </c>
      <c r="C718">
        <v>0.62658227848101267</v>
      </c>
      <c r="D718">
        <v>0.71140939597315433</v>
      </c>
      <c r="E718">
        <v>0.92805755395683454</v>
      </c>
      <c r="F718">
        <v>0.22393822393822393</v>
      </c>
      <c r="G718">
        <v>0.234375</v>
      </c>
      <c r="H718">
        <v>0.24848484848484848</v>
      </c>
      <c r="I718">
        <v>0.30467289719626167</v>
      </c>
      <c r="J718">
        <v>0.26151012891344383</v>
      </c>
      <c r="K718">
        <v>0.30964467005076141</v>
      </c>
    </row>
    <row r="719" spans="1:11" x14ac:dyDescent="0.3">
      <c r="A719" s="1" t="str">
        <f>HYPERLINK("[.\tse_pressure_data\5264.xlsx]5264!$A268","﻿F-鎧勝          ")</f>
        <v xml:space="preserve">﻿F-鎧勝          </v>
      </c>
      <c r="B719">
        <v>0.72438489083978286</v>
      </c>
      <c r="C719">
        <v>0.71726901441011015</v>
      </c>
      <c r="D719">
        <v>0.67633474244559266</v>
      </c>
      <c r="E719">
        <v>0.62473068311435931</v>
      </c>
      <c r="F719">
        <v>1.0369957500174181</v>
      </c>
      <c r="G719">
        <v>0.94757954854500948</v>
      </c>
      <c r="H719">
        <v>1.2619396903015485</v>
      </c>
      <c r="I719">
        <v>1.1983623665409007</v>
      </c>
      <c r="J719">
        <v>1.1937118044387263</v>
      </c>
      <c r="K719">
        <v>1.2518775274407856</v>
      </c>
    </row>
    <row r="720" spans="1:11" x14ac:dyDescent="0.3">
      <c r="A720" s="1" t="str">
        <f>HYPERLINK("[.\tse_pressure_data\5269.xlsx]5269!$A268","﻿祥碩            ")</f>
        <v xml:space="preserve">﻿祥碩            </v>
      </c>
      <c r="B720">
        <v>1.153179190751445</v>
      </c>
      <c r="C720">
        <v>1.1046216353478924</v>
      </c>
      <c r="D720">
        <v>1.1413381742738589</v>
      </c>
      <c r="E720">
        <v>1.0902862735502814</v>
      </c>
      <c r="F720">
        <v>1.0688151199418463</v>
      </c>
      <c r="G720">
        <v>1.1050317537860284</v>
      </c>
      <c r="H720">
        <v>1.1355973025048169</v>
      </c>
      <c r="I720">
        <v>1.0864402754690097</v>
      </c>
      <c r="J720">
        <v>1.1787223465075813</v>
      </c>
      <c r="K720">
        <v>1.1844373307067224</v>
      </c>
    </row>
    <row r="721" spans="1:11" x14ac:dyDescent="0.3">
      <c r="A721" s="1" t="str">
        <f>HYPERLINK("[.\tse_pressure_data\5285.xlsx]5285!$A268","﻿界霖            ")</f>
        <v xml:space="preserve">﻿界霖            </v>
      </c>
      <c r="B721">
        <v>1.7924381860516687</v>
      </c>
      <c r="C721">
        <v>1.3771268743687359</v>
      </c>
      <c r="D721">
        <v>1.4018200910045502</v>
      </c>
      <c r="E721">
        <v>1.1404207215177431</v>
      </c>
      <c r="F721">
        <v>0.8708754458977408</v>
      </c>
      <c r="G721">
        <v>0.86056373160389121</v>
      </c>
      <c r="H721">
        <v>0.84632309966651764</v>
      </c>
      <c r="I721">
        <v>0.79183687024675364</v>
      </c>
      <c r="J721">
        <v>0.80590067426498269</v>
      </c>
      <c r="K721">
        <v>0.78905284831846256</v>
      </c>
    </row>
    <row r="722" spans="1:11" x14ac:dyDescent="0.3">
      <c r="A722" s="1" t="str">
        <f>HYPERLINK("[.\tse_pressure_data\5288.xlsx]5288!$A268","﻿F-豐祥          ")</f>
        <v xml:space="preserve">﻿F-豐祥          </v>
      </c>
      <c r="B722">
        <v>4.9114103472714383</v>
      </c>
      <c r="C722">
        <v>5.1671619613670137</v>
      </c>
      <c r="D722">
        <v>4.9700729927007297</v>
      </c>
      <c r="E722">
        <v>4.7827635327635329</v>
      </c>
      <c r="F722">
        <v>4.8106936416184976</v>
      </c>
      <c r="G722">
        <v>4.9161676646706587</v>
      </c>
      <c r="H722">
        <v>4.9757759273277822</v>
      </c>
      <c r="I722">
        <v>5.2789005658852064</v>
      </c>
      <c r="J722">
        <v>5.6762904636920384</v>
      </c>
      <c r="K722">
        <v>5.9318801089918258</v>
      </c>
    </row>
    <row r="723" spans="1:11" x14ac:dyDescent="0.3">
      <c r="A723" s="1" t="str">
        <f>HYPERLINK("[.\tse_pressure_data\5305.xlsx]5305!$A268","﻿敦南            ")</f>
        <v xml:space="preserve">﻿敦南            </v>
      </c>
      <c r="B723">
        <v>1.0010436737315349</v>
      </c>
      <c r="C723">
        <v>0.96189181706058546</v>
      </c>
      <c r="D723">
        <v>0.91206276560967636</v>
      </c>
      <c r="E723">
        <v>1.1624260992364586</v>
      </c>
      <c r="F723">
        <v>0.99776437771761428</v>
      </c>
      <c r="G723">
        <v>0.90930171178644148</v>
      </c>
      <c r="H723">
        <v>0.94705181426814267</v>
      </c>
      <c r="I723">
        <v>0.92441042056345091</v>
      </c>
      <c r="J723">
        <v>0.9649331053213962</v>
      </c>
      <c r="K723">
        <v>1.0016014454071367</v>
      </c>
    </row>
    <row r="724" spans="1:11" x14ac:dyDescent="0.3">
      <c r="A724" s="1" t="str">
        <f>HYPERLINK("[.\tse_pressure_data\5388.xlsx]5388!$A268","﻿中磊            ")</f>
        <v xml:space="preserve">﻿中磊            </v>
      </c>
      <c r="B724">
        <v>1.2186662102801074</v>
      </c>
      <c r="C724">
        <v>1.2674887633974876</v>
      </c>
      <c r="D724">
        <v>1.2030271109386261</v>
      </c>
      <c r="E724">
        <v>1.2044952507179147</v>
      </c>
      <c r="F724">
        <v>1.2343179555260537</v>
      </c>
      <c r="G724">
        <v>1.2607628819986616</v>
      </c>
      <c r="H724">
        <v>1.2637655901094711</v>
      </c>
      <c r="I724">
        <v>1.2362252832703844</v>
      </c>
      <c r="J724">
        <v>1.2167010194418137</v>
      </c>
      <c r="K724">
        <v>1.2969524793388429</v>
      </c>
    </row>
    <row r="725" spans="1:11" x14ac:dyDescent="0.3">
      <c r="A725" s="1" t="str">
        <f>HYPERLINK("[.\tse_pressure_data\5434.xlsx]5434!$A268","﻿崇越            ")</f>
        <v xml:space="preserve">﻿崇越            </v>
      </c>
      <c r="B725">
        <v>0.96035369589088593</v>
      </c>
      <c r="C725">
        <v>0.9623447647259884</v>
      </c>
      <c r="D725">
        <v>0.95158192090395477</v>
      </c>
      <c r="E725">
        <v>0.94443184395554547</v>
      </c>
      <c r="F725">
        <v>0.86456410000499029</v>
      </c>
      <c r="G725">
        <v>0.8100532117065754</v>
      </c>
      <c r="H725">
        <v>0.82095522675791599</v>
      </c>
      <c r="I725">
        <v>0.75144368418498564</v>
      </c>
      <c r="J725">
        <v>0.74272213773625895</v>
      </c>
      <c r="K725">
        <v>0.80063008975806926</v>
      </c>
    </row>
    <row r="726" spans="1:11" x14ac:dyDescent="0.3">
      <c r="A726" s="1" t="str">
        <f>HYPERLINK("[.\tse_pressure_data\5469.xlsx]5469!$A268","﻿瀚宇博          ")</f>
        <v xml:space="preserve">﻿瀚宇博          </v>
      </c>
      <c r="B726">
        <v>1.1986924939467312</v>
      </c>
      <c r="C726">
        <v>1.2631299350445513</v>
      </c>
      <c r="D726">
        <v>1.2732891625500433</v>
      </c>
      <c r="E726">
        <v>1.2121997846579797</v>
      </c>
      <c r="F726">
        <v>1.2876359104387811</v>
      </c>
      <c r="G726">
        <v>1.3851047192341019</v>
      </c>
      <c r="H726">
        <v>1.4501648542933792</v>
      </c>
      <c r="I726">
        <v>1.3218225911124775</v>
      </c>
      <c r="J726">
        <v>1.3736541162308566</v>
      </c>
      <c r="K726">
        <v>1.4511364726191618</v>
      </c>
    </row>
    <row r="727" spans="1:11" x14ac:dyDescent="0.3">
      <c r="A727" s="1" t="str">
        <f>HYPERLINK("[.\tse_pressure_data\5471.xlsx]5471!$A268","﻿松翰            ")</f>
        <v xml:space="preserve">﻿松翰            </v>
      </c>
      <c r="B727">
        <v>1.6548903585102681</v>
      </c>
      <c r="C727">
        <v>1.5865335814582981</v>
      </c>
      <c r="D727">
        <v>1.4885570524265541</v>
      </c>
      <c r="E727">
        <v>1.571333995365773</v>
      </c>
      <c r="F727">
        <v>1.5860340795188774</v>
      </c>
      <c r="G727">
        <v>1.5270423907747279</v>
      </c>
      <c r="H727">
        <v>2</v>
      </c>
      <c r="I727">
        <v>1.9703351034609047</v>
      </c>
      <c r="J727">
        <v>1.8871994342291372</v>
      </c>
      <c r="K727">
        <v>1.7247153382451441</v>
      </c>
    </row>
    <row r="728" spans="1:11" x14ac:dyDescent="0.3">
      <c r="A728" s="1" t="str">
        <f>HYPERLINK("[.\tse_pressure_data\5484.xlsx]5484!$A268","﻿慧友            ")</f>
        <v xml:space="preserve">﻿慧友            </v>
      </c>
      <c r="B728">
        <v>0.90040376850605652</v>
      </c>
      <c r="C728">
        <v>0.8959459459459459</v>
      </c>
      <c r="D728">
        <v>0.85305591677503256</v>
      </c>
      <c r="E728">
        <v>0.88736263736263732</v>
      </c>
      <c r="F728">
        <v>0.88949522510231926</v>
      </c>
      <c r="G728">
        <v>0.84885290148448045</v>
      </c>
      <c r="H728">
        <v>0.89736477115117896</v>
      </c>
      <c r="I728">
        <v>0.79097387173396672</v>
      </c>
      <c r="J728">
        <v>0.78960396039603964</v>
      </c>
      <c r="K728">
        <v>0.78926174496644297</v>
      </c>
    </row>
    <row r="729" spans="1:11" x14ac:dyDescent="0.3">
      <c r="A729" s="1" t="str">
        <f>HYPERLINK("[.\tse_pressure_data\5515.xlsx]5515!$A268","﻿建國            ")</f>
        <v xml:space="preserve">﻿建國            </v>
      </c>
      <c r="B729">
        <v>0.61428986349114145</v>
      </c>
      <c r="C729">
        <v>0.64818577648766329</v>
      </c>
      <c r="D729">
        <v>0.63390114493158334</v>
      </c>
      <c r="E729">
        <v>0.61305048335123524</v>
      </c>
      <c r="F729">
        <v>0.49450451255473149</v>
      </c>
      <c r="G729">
        <v>0.49879582552849877</v>
      </c>
      <c r="H729">
        <v>0.49624798999463998</v>
      </c>
      <c r="I729">
        <v>0.49602403251457855</v>
      </c>
      <c r="J729">
        <v>0.48771867821169818</v>
      </c>
      <c r="K729">
        <v>0.46198419666374013</v>
      </c>
    </row>
    <row r="730" spans="1:11" x14ac:dyDescent="0.3">
      <c r="A730" s="1" t="str">
        <f>HYPERLINK("[.\tse_pressure_data\5519.xlsx]5519!$A268","﻿隆大            ")</f>
        <v xml:space="preserve">﻿隆大            </v>
      </c>
      <c r="B730">
        <v>1.6430205949656751</v>
      </c>
      <c r="C730">
        <v>1.1699544764795144</v>
      </c>
      <c r="D730">
        <v>0.97254207263064663</v>
      </c>
      <c r="E730">
        <v>0.90796232876712324</v>
      </c>
      <c r="F730">
        <v>0.95600676818950936</v>
      </c>
      <c r="G730">
        <v>0.97666378565254974</v>
      </c>
      <c r="H730">
        <v>0.99702633814783348</v>
      </c>
      <c r="I730">
        <v>0.96282372598162069</v>
      </c>
      <c r="J730">
        <v>0.94184100418410044</v>
      </c>
      <c r="K730">
        <v>0.90375000000000005</v>
      </c>
    </row>
    <row r="731" spans="1:11" x14ac:dyDescent="0.3">
      <c r="A731" s="1" t="str">
        <f>HYPERLINK("[.\tse_pressure_data\5521.xlsx]5521!$A268","﻿工信            ")</f>
        <v xml:space="preserve">﻿工信            </v>
      </c>
      <c r="B731">
        <v>0.73533176699343761</v>
      </c>
      <c r="C731">
        <v>0.97861967396272409</v>
      </c>
      <c r="D731">
        <v>0.92729712269542319</v>
      </c>
      <c r="E731">
        <v>0.95693205216197663</v>
      </c>
      <c r="F731">
        <v>0.85849637012427715</v>
      </c>
      <c r="G731">
        <v>0.81530268222096247</v>
      </c>
      <c r="H731">
        <v>0.89658845459656178</v>
      </c>
      <c r="I731">
        <v>0.77501028956836915</v>
      </c>
      <c r="J731">
        <v>0.78085438916384475</v>
      </c>
      <c r="K731">
        <v>0.83011721773747649</v>
      </c>
    </row>
    <row r="732" spans="1:11" x14ac:dyDescent="0.3">
      <c r="A732" s="1" t="str">
        <f>HYPERLINK("[.\tse_pressure_data\5522.xlsx]5522!$A268","﻿遠雄            ")</f>
        <v xml:space="preserve">﻿遠雄            </v>
      </c>
      <c r="B732">
        <v>1.1027107684655559</v>
      </c>
      <c r="C732">
        <v>1.0134274010013655</v>
      </c>
      <c r="D732">
        <v>0.89196086771586558</v>
      </c>
      <c r="E732">
        <v>0.86364555937689658</v>
      </c>
      <c r="F732">
        <v>0.83138498117693682</v>
      </c>
      <c r="G732">
        <v>0.85250255362614913</v>
      </c>
      <c r="H732">
        <v>0.83671419963848159</v>
      </c>
      <c r="I732">
        <v>0.79126688858429606</v>
      </c>
      <c r="J732">
        <v>0.72751075369366003</v>
      </c>
      <c r="K732">
        <v>0.70960409168403105</v>
      </c>
    </row>
    <row r="733" spans="1:11" x14ac:dyDescent="0.3">
      <c r="A733" s="1" t="str">
        <f>HYPERLINK("[.\tse_pressure_data\5525.xlsx]5525!$A268","﻿順天            ")</f>
        <v xml:space="preserve">﻿順天            </v>
      </c>
      <c r="B733">
        <v>0.70281995661605201</v>
      </c>
      <c r="C733">
        <v>0.77962466487935655</v>
      </c>
      <c r="D733">
        <v>0.65030946065428819</v>
      </c>
      <c r="E733">
        <v>0.58517350157728709</v>
      </c>
      <c r="F733">
        <v>0.5787250384024577</v>
      </c>
      <c r="G733">
        <v>0.55716406829992571</v>
      </c>
      <c r="H733">
        <v>0.56560415122312824</v>
      </c>
      <c r="I733">
        <v>0.56391526661796931</v>
      </c>
      <c r="J733">
        <v>0.54492753623188406</v>
      </c>
      <c r="K733">
        <v>0.54388489208633095</v>
      </c>
    </row>
    <row r="734" spans="1:11" x14ac:dyDescent="0.3">
      <c r="A734" s="1" t="str">
        <f>HYPERLINK("[.\tse_pressure_data\5531.xlsx]5531!$A268","﻿鄉林            ")</f>
        <v xml:space="preserve">﻿鄉林            </v>
      </c>
      <c r="B734">
        <v>0.89032129315505892</v>
      </c>
      <c r="C734">
        <v>0.87511833385926163</v>
      </c>
      <c r="D734">
        <v>0.84790742526518803</v>
      </c>
      <c r="E734">
        <v>0.8101227573182247</v>
      </c>
      <c r="F734">
        <v>0.79321535036413715</v>
      </c>
      <c r="G734">
        <v>0.77962523093164426</v>
      </c>
      <c r="H734">
        <v>0.78613490364025695</v>
      </c>
      <c r="I734">
        <v>0.75737880409848601</v>
      </c>
      <c r="J734">
        <v>0.76049382716049385</v>
      </c>
      <c r="K734">
        <v>0.73933501847170913</v>
      </c>
    </row>
    <row r="735" spans="1:11" x14ac:dyDescent="0.3">
      <c r="A735" s="1" t="str">
        <f>HYPERLINK("[.\tse_pressure_data\5533.xlsx]5533!$A268","﻿皇鼎            ")</f>
        <v xml:space="preserve">﻿皇鼎            </v>
      </c>
      <c r="B735">
        <v>0.82763636363636361</v>
      </c>
      <c r="C735">
        <v>0.84660336011687365</v>
      </c>
      <c r="D735">
        <v>0.84924623115577891</v>
      </c>
      <c r="E735">
        <v>0.80968392737054473</v>
      </c>
      <c r="F735">
        <v>0.81296421336934499</v>
      </c>
      <c r="G735">
        <v>0.77901639344262297</v>
      </c>
      <c r="H735">
        <v>0.84838274932614555</v>
      </c>
      <c r="I735">
        <v>0.86741889985895626</v>
      </c>
      <c r="J735">
        <v>0.84072022160664817</v>
      </c>
      <c r="K735">
        <v>0.85531914893617023</v>
      </c>
    </row>
    <row r="736" spans="1:11" x14ac:dyDescent="0.3">
      <c r="A736" s="1" t="str">
        <f>HYPERLINK("[.\tse_pressure_data\5534.xlsx]5534!$A268","﻿長虹            ")</f>
        <v xml:space="preserve">﻿長虹            </v>
      </c>
      <c r="B736">
        <v>0.82502087603431262</v>
      </c>
      <c r="C736">
        <v>0.74396103683849246</v>
      </c>
      <c r="D736">
        <v>0.6671708158141505</v>
      </c>
      <c r="E736">
        <v>0.67838890240934535</v>
      </c>
      <c r="F736">
        <v>0.67489876058412079</v>
      </c>
      <c r="G736">
        <v>0.64659590043923865</v>
      </c>
      <c r="H736">
        <v>0.6350298307561183</v>
      </c>
      <c r="I736">
        <v>0.654951281013604</v>
      </c>
      <c r="J736">
        <v>0.66339608169005082</v>
      </c>
      <c r="K736">
        <v>0.63863406353041041</v>
      </c>
    </row>
    <row r="737" spans="1:11" x14ac:dyDescent="0.3">
      <c r="A737" s="1" t="str">
        <f>HYPERLINK("[.\tse_pressure_data\5538.xlsx]5538!$A268","﻿F-東明          ")</f>
        <v xml:space="preserve">﻿F-東明          </v>
      </c>
      <c r="B737">
        <v>0.57912087912087917</v>
      </c>
      <c r="C737">
        <v>0.579185520361991</v>
      </c>
      <c r="D737">
        <v>0.53547671840354771</v>
      </c>
      <c r="E737">
        <v>0.64393939393939392</v>
      </c>
      <c r="F737">
        <v>0.70538243626062325</v>
      </c>
      <c r="G737">
        <v>0.70200573065902583</v>
      </c>
      <c r="H737">
        <v>0.71575846833578793</v>
      </c>
      <c r="I737">
        <v>0.70420420420420415</v>
      </c>
      <c r="J737">
        <v>0.70046082949308752</v>
      </c>
      <c r="K737">
        <v>0.70046801872074882</v>
      </c>
    </row>
    <row r="738" spans="1:11" x14ac:dyDescent="0.3">
      <c r="A738" s="1" t="str">
        <f>HYPERLINK("[.\tse_pressure_data\5607.xlsx]5607!$A268","﻿遠雄港          ")</f>
        <v xml:space="preserve">﻿遠雄港          </v>
      </c>
      <c r="B738">
        <v>1.416429587482219</v>
      </c>
      <c r="C738">
        <v>1.0968079539508111</v>
      </c>
      <c r="D738">
        <v>0.93085223519048665</v>
      </c>
      <c r="E738">
        <v>0.92039473684210527</v>
      </c>
      <c r="F738">
        <v>0.9354341119435875</v>
      </c>
      <c r="G738">
        <v>0.94460773230838802</v>
      </c>
      <c r="H738">
        <v>0.97260889088459812</v>
      </c>
      <c r="I738">
        <v>0.95203782931772118</v>
      </c>
      <c r="J738">
        <v>0.93641745231308926</v>
      </c>
      <c r="K738">
        <v>0.95656008820286664</v>
      </c>
    </row>
    <row r="739" spans="1:11" x14ac:dyDescent="0.3">
      <c r="A739" s="1" t="str">
        <f>HYPERLINK("[.\tse_pressure_data\5608.xlsx]5608!$A268","﻿四維航          ")</f>
        <v xml:space="preserve">﻿四維航          </v>
      </c>
      <c r="B739">
        <v>1.0724204229865413</v>
      </c>
      <c r="C739">
        <v>1.321863197650021</v>
      </c>
      <c r="D739">
        <v>0.95052292839903463</v>
      </c>
      <c r="E739">
        <v>0.81936790012372063</v>
      </c>
      <c r="F739">
        <v>0.77510729613733909</v>
      </c>
      <c r="G739">
        <v>0.78210983624818986</v>
      </c>
      <c r="H739">
        <v>0.81821270812096503</v>
      </c>
      <c r="I739">
        <v>0.81246446036620035</v>
      </c>
      <c r="J739">
        <v>0.73990325120935985</v>
      </c>
      <c r="K739">
        <v>0.73331062670299729</v>
      </c>
    </row>
    <row r="740" spans="1:11" x14ac:dyDescent="0.3">
      <c r="A740" s="1" t="str">
        <f>HYPERLINK("[.\tse_pressure_data\5706.xlsx]5706!$A268","﻿鳳凰            ")</f>
        <v xml:space="preserve">﻿鳳凰            </v>
      </c>
      <c r="B740">
        <v>1.189030362389814</v>
      </c>
      <c r="C740">
        <v>1.1720532319391634</v>
      </c>
      <c r="D740">
        <v>1.0976958525345621</v>
      </c>
      <c r="E740">
        <v>1.0886654478976234</v>
      </c>
      <c r="F740">
        <v>1.048692515779982</v>
      </c>
      <c r="G740">
        <v>0.98570151921358351</v>
      </c>
      <c r="H740">
        <v>0.99636363636363634</v>
      </c>
      <c r="I740">
        <v>0.95353159851301117</v>
      </c>
      <c r="J740">
        <v>0.92102759276879165</v>
      </c>
      <c r="K740">
        <v>0.88170974155069581</v>
      </c>
    </row>
    <row r="741" spans="1:11" x14ac:dyDescent="0.3">
      <c r="A741" s="1" t="str">
        <f>HYPERLINK("[.\tse_pressure_data\5871.xlsx]5871!$A268","﻿F-中租          ")</f>
        <v xml:space="preserve">﻿F-中租          </v>
      </c>
      <c r="B741">
        <v>0.59435142417244036</v>
      </c>
      <c r="C741">
        <v>0.60403872684874305</v>
      </c>
      <c r="D741">
        <v>0.59524159560913459</v>
      </c>
      <c r="E741">
        <v>0.5562707770459554</v>
      </c>
      <c r="F741">
        <v>0.47888179146528065</v>
      </c>
      <c r="G741">
        <v>0.53340000270281229</v>
      </c>
      <c r="H741">
        <v>0.58267020335985853</v>
      </c>
      <c r="I741">
        <v>0.59731626436338392</v>
      </c>
      <c r="J741">
        <v>0.5847952313299154</v>
      </c>
      <c r="K741">
        <v>0.54027909457217349</v>
      </c>
    </row>
    <row r="742" spans="1:11" x14ac:dyDescent="0.3">
      <c r="A742" s="1" t="str">
        <f>HYPERLINK("[.\tse_pressure_data\5880.xlsx]5880!$A268","﻿合庫金          ")</f>
        <v xml:space="preserve">﻿合庫金          </v>
      </c>
      <c r="B742">
        <v>0.6393402592789913</v>
      </c>
      <c r="C742">
        <v>0.64954405695341333</v>
      </c>
      <c r="D742">
        <v>0.60329055464274617</v>
      </c>
      <c r="E742">
        <v>0.58229934924078086</v>
      </c>
      <c r="F742">
        <v>0.56119790742410158</v>
      </c>
      <c r="G742">
        <v>0.56484565110312224</v>
      </c>
      <c r="H742">
        <v>0.53308317973024366</v>
      </c>
      <c r="I742">
        <v>0.53755389326467495</v>
      </c>
      <c r="J742">
        <v>0.51754195321110885</v>
      </c>
      <c r="K742">
        <v>0.48833224796105063</v>
      </c>
    </row>
    <row r="743" spans="1:11" x14ac:dyDescent="0.3">
      <c r="A743" s="1" t="str">
        <f>HYPERLINK("[.\tse_pressure_data\5906.xlsx]5906!$A268","﻿F-台南          ")</f>
        <v xml:space="preserve">﻿F-台南          </v>
      </c>
      <c r="B743">
        <v>0.63255813953488371</v>
      </c>
      <c r="C743">
        <v>0.783625730994152</v>
      </c>
      <c r="D743">
        <v>0.8</v>
      </c>
      <c r="E743">
        <v>0.81355932203389836</v>
      </c>
      <c r="F743">
        <v>0.88554216867469882</v>
      </c>
      <c r="G743">
        <v>1.1079136690647482</v>
      </c>
      <c r="H743">
        <v>1.103448275862069</v>
      </c>
      <c r="I743">
        <v>1.0681818181818181</v>
      </c>
      <c r="J743">
        <v>1.124031007751938</v>
      </c>
      <c r="K743">
        <v>1.3240740740740742</v>
      </c>
    </row>
    <row r="744" spans="1:11" x14ac:dyDescent="0.3">
      <c r="A744" s="1" t="str">
        <f>HYPERLINK("[.\tse_pressure_data\5907.xlsx]5907!$A268","﻿F-大洋          ")</f>
        <v xml:space="preserve">﻿F-大洋          </v>
      </c>
      <c r="B744">
        <v>1.0660601265822784</v>
      </c>
      <c r="C744">
        <v>1.0462450592885375</v>
      </c>
      <c r="D744">
        <v>0.9522388059701492</v>
      </c>
      <c r="E744">
        <v>0.95204196328212809</v>
      </c>
      <c r="F744">
        <v>1.0048927361686113</v>
      </c>
      <c r="G744">
        <v>0.98981900452488691</v>
      </c>
      <c r="H744">
        <v>0.98764983654195426</v>
      </c>
      <c r="I744">
        <v>1.0155684286748732</v>
      </c>
      <c r="J744">
        <v>1.0180530973451327</v>
      </c>
      <c r="K744">
        <v>1.0230133045667027</v>
      </c>
    </row>
    <row r="745" spans="1:11" x14ac:dyDescent="0.3">
      <c r="A745" s="1" t="str">
        <f>HYPERLINK("[.\tse_pressure_data\6005.xlsx]6005!$A268","﻿群益證          ")</f>
        <v xml:space="preserve">﻿群益證          </v>
      </c>
      <c r="B745">
        <v>0.76509797929638257</v>
      </c>
      <c r="C745">
        <v>0.85391489119505204</v>
      </c>
      <c r="D745">
        <v>0.84536101653922713</v>
      </c>
      <c r="E745">
        <v>0.95488029465930013</v>
      </c>
      <c r="F745">
        <v>1.0043072029686568</v>
      </c>
      <c r="G745">
        <v>0.97331038389472313</v>
      </c>
      <c r="H745">
        <v>1.0169889093848921</v>
      </c>
      <c r="I745">
        <v>1.0409271492042595</v>
      </c>
      <c r="J745">
        <v>1.0792384809126376</v>
      </c>
      <c r="K745">
        <v>0.94659587757651464</v>
      </c>
    </row>
    <row r="746" spans="1:11" x14ac:dyDescent="0.3">
      <c r="A746" s="1" t="str">
        <f>HYPERLINK("[.\tse_pressure_data\6108.xlsx]6108!$A268","﻿競國            ")</f>
        <v xml:space="preserve">﻿競國            </v>
      </c>
      <c r="B746">
        <v>1.2231322413104275</v>
      </c>
      <c r="C746">
        <v>1.2981253779479944</v>
      </c>
      <c r="D746">
        <v>1.2328794158279062</v>
      </c>
      <c r="E746">
        <v>1.3658343242172017</v>
      </c>
      <c r="F746">
        <v>1.4250100522718134</v>
      </c>
      <c r="G746">
        <v>1.3681513598738668</v>
      </c>
      <c r="H746">
        <v>1.4452095219358647</v>
      </c>
      <c r="I746">
        <v>1.0232742660671781</v>
      </c>
      <c r="J746">
        <v>0.99100950423837653</v>
      </c>
      <c r="K746">
        <v>0.94589457678661937</v>
      </c>
    </row>
    <row r="747" spans="1:11" x14ac:dyDescent="0.3">
      <c r="A747" s="1" t="str">
        <f>HYPERLINK("[.\tse_pressure_data\6112.xlsx]6112!$A268","﻿聚碩            ")</f>
        <v xml:space="preserve">﻿聚碩            </v>
      </c>
      <c r="B747">
        <v>0.75385564466378774</v>
      </c>
      <c r="C747">
        <v>0.73381080274544908</v>
      </c>
      <c r="D747">
        <v>0.71161271161271167</v>
      </c>
      <c r="E747">
        <v>0.74659653465346532</v>
      </c>
      <c r="F747">
        <v>0.71643163703249535</v>
      </c>
      <c r="G747">
        <v>0.70316825592125498</v>
      </c>
      <c r="H747">
        <v>0.68879148403256107</v>
      </c>
      <c r="I747">
        <v>0.68104534005037787</v>
      </c>
      <c r="J747">
        <v>0.69130998702983137</v>
      </c>
      <c r="K747">
        <v>0.65574302401038287</v>
      </c>
    </row>
    <row r="748" spans="1:11" x14ac:dyDescent="0.3">
      <c r="A748" s="1" t="str">
        <f>HYPERLINK("[.\tse_pressure_data\6115.xlsx]6115!$A268","﻿鎰勝            ")</f>
        <v xml:space="preserve">﻿鎰勝            </v>
      </c>
      <c r="B748">
        <v>0.79850746268656714</v>
      </c>
      <c r="C748">
        <v>0.79036827195467418</v>
      </c>
      <c r="D748">
        <v>0.73137074517019318</v>
      </c>
      <c r="E748">
        <v>0.70156106519742878</v>
      </c>
      <c r="F748">
        <v>0.74829268292682927</v>
      </c>
      <c r="G748">
        <v>0.76682926829268294</v>
      </c>
      <c r="H748">
        <v>0.76960784313725494</v>
      </c>
      <c r="I748">
        <v>0.72444011684518017</v>
      </c>
      <c r="J748">
        <v>0.69522882181110024</v>
      </c>
      <c r="K748">
        <v>0.70517928286852594</v>
      </c>
    </row>
    <row r="749" spans="1:11" x14ac:dyDescent="0.3">
      <c r="A749" s="1" t="str">
        <f>HYPERLINK("[.\tse_pressure_data\6116.xlsx]6116!$A268","﻿彩晶            ")</f>
        <v xml:space="preserve">﻿彩晶            </v>
      </c>
      <c r="B749">
        <v>1.0400910847364062</v>
      </c>
      <c r="C749">
        <v>1.0349459872965832</v>
      </c>
      <c r="D749">
        <v>0.96738022109203048</v>
      </c>
      <c r="E749">
        <v>1.0632356838316444</v>
      </c>
      <c r="F749">
        <v>1.0414951873530778</v>
      </c>
      <c r="G749">
        <v>0.96007694881231176</v>
      </c>
      <c r="H749">
        <v>1.044412989590261</v>
      </c>
      <c r="I749">
        <v>0.97203996210246479</v>
      </c>
      <c r="J749">
        <v>0.98682024182975503</v>
      </c>
      <c r="K749">
        <v>1.0243021358957491</v>
      </c>
    </row>
    <row r="750" spans="1:11" x14ac:dyDescent="0.3">
      <c r="A750" s="1" t="str">
        <f>HYPERLINK("[.\tse_pressure_data\6117.xlsx]6117!$A268","﻿迎廣            ")</f>
        <v xml:space="preserve">﻿迎廣            </v>
      </c>
      <c r="B750">
        <v>0.87147335423197492</v>
      </c>
      <c r="C750">
        <v>0.86031746031746037</v>
      </c>
      <c r="D750">
        <v>0.79874213836477992</v>
      </c>
      <c r="E750">
        <v>0.82621951219512191</v>
      </c>
      <c r="F750">
        <v>0.83177570093457942</v>
      </c>
      <c r="G750">
        <v>0.80645161290322576</v>
      </c>
      <c r="H750">
        <v>0.84972677595628421</v>
      </c>
      <c r="I750">
        <v>0.87878787878787878</v>
      </c>
      <c r="J750">
        <v>0.82920792079207917</v>
      </c>
      <c r="K750">
        <v>0.81360201511335017</v>
      </c>
    </row>
    <row r="751" spans="1:11" x14ac:dyDescent="0.3">
      <c r="A751" s="1" t="str">
        <f>HYPERLINK("[.\tse_pressure_data\6120.xlsx]6120!$A268","﻿達運            ")</f>
        <v xml:space="preserve">﻿達運            </v>
      </c>
      <c r="B751">
        <v>1.5708657986020325</v>
      </c>
      <c r="C751">
        <v>1.2610956271678466</v>
      </c>
      <c r="D751">
        <v>0.96800789270191723</v>
      </c>
      <c r="E751">
        <v>1.0440419081632137</v>
      </c>
      <c r="F751">
        <v>0.89989522008222556</v>
      </c>
      <c r="G751">
        <v>0.88446705757583721</v>
      </c>
      <c r="H751">
        <v>0.91794060176302594</v>
      </c>
      <c r="I751">
        <v>0.87813589734908759</v>
      </c>
      <c r="J751">
        <v>0.89351485019199461</v>
      </c>
      <c r="K751">
        <v>0.78276467079685319</v>
      </c>
    </row>
    <row r="752" spans="1:11" x14ac:dyDescent="0.3">
      <c r="A752" s="1" t="str">
        <f>HYPERLINK("[.\tse_pressure_data\6128.xlsx]6128!$A268","﻿上福            ")</f>
        <v xml:space="preserve">﻿上福            </v>
      </c>
      <c r="B752">
        <v>0.94973343488194972</v>
      </c>
      <c r="C752">
        <v>1.1505968778696052</v>
      </c>
      <c r="D752">
        <v>1.2723449001051526</v>
      </c>
      <c r="E752">
        <v>1.3888888888888888</v>
      </c>
      <c r="F752">
        <v>1.4533492822966507</v>
      </c>
      <c r="G752">
        <v>1.6459537572254335</v>
      </c>
      <c r="H752">
        <v>1.6712328767123288</v>
      </c>
      <c r="I752">
        <v>1.916015625</v>
      </c>
      <c r="J752">
        <v>1.6513944223107571</v>
      </c>
      <c r="K752">
        <v>1.4332648870636551</v>
      </c>
    </row>
    <row r="753" spans="1:11" x14ac:dyDescent="0.3">
      <c r="A753" s="1" t="str">
        <f>HYPERLINK("[.\tse_pressure_data\6133.xlsx]6133!$A268","﻿金橋            ")</f>
        <v xml:space="preserve">﻿金橋            </v>
      </c>
      <c r="B753">
        <v>1.2404891304347827</v>
      </c>
      <c r="C753">
        <v>1.2066470721229934</v>
      </c>
      <c r="D753">
        <v>1.1913003871555454</v>
      </c>
      <c r="E753">
        <v>1.1779391738538356</v>
      </c>
      <c r="F753">
        <v>1.1681054066333485</v>
      </c>
      <c r="G753">
        <v>1.1224536507209888</v>
      </c>
      <c r="H753">
        <v>1.1441999082989454</v>
      </c>
      <c r="I753">
        <v>1.1571727505231342</v>
      </c>
      <c r="J753">
        <v>1.1090425531914894</v>
      </c>
      <c r="K753">
        <v>1.0501118568232661</v>
      </c>
    </row>
    <row r="754" spans="1:11" x14ac:dyDescent="0.3">
      <c r="A754" s="1" t="str">
        <f>HYPERLINK("[.\tse_pressure_data\6136.xlsx]6136!$A268","﻿富爾特          ")</f>
        <v xml:space="preserve">﻿富爾特          </v>
      </c>
      <c r="B754">
        <v>0.86742424242424243</v>
      </c>
      <c r="C754">
        <v>0.7505580357142857</v>
      </c>
      <c r="D754">
        <v>0.7364718614718615</v>
      </c>
      <c r="E754">
        <v>0.71923281832711772</v>
      </c>
      <c r="F754">
        <v>0.72160591653460116</v>
      </c>
      <c r="G754">
        <v>0.69396325459317587</v>
      </c>
      <c r="H754">
        <v>0.68856837606837606</v>
      </c>
      <c r="I754">
        <v>0.69350509930220072</v>
      </c>
      <c r="J754">
        <v>0.59659714599341385</v>
      </c>
      <c r="K754">
        <v>0.60686164229471318</v>
      </c>
    </row>
    <row r="755" spans="1:11" x14ac:dyDescent="0.3">
      <c r="A755" s="1" t="str">
        <f>HYPERLINK("[.\tse_pressure_data\6139.xlsx]6139!$A268","﻿亞翔            ")</f>
        <v xml:space="preserve">﻿亞翔            </v>
      </c>
      <c r="B755">
        <v>1.0323996122251136</v>
      </c>
      <c r="C755">
        <v>0.75900339750849377</v>
      </c>
      <c r="D755">
        <v>0.74678351668842069</v>
      </c>
      <c r="E755">
        <v>0.74290192076393191</v>
      </c>
      <c r="F755">
        <v>0.7347390578500399</v>
      </c>
      <c r="G755">
        <v>0.71660800464458074</v>
      </c>
      <c r="H755">
        <v>0.71413023762017047</v>
      </c>
      <c r="I755">
        <v>0.70697791707194069</v>
      </c>
      <c r="J755">
        <v>0.6891047632804882</v>
      </c>
      <c r="K755">
        <v>0.70170423309510721</v>
      </c>
    </row>
    <row r="756" spans="1:11" x14ac:dyDescent="0.3">
      <c r="A756" s="1" t="str">
        <f>HYPERLINK("[.\tse_pressure_data\6141.xlsx]6141!$A268","﻿柏承            ")</f>
        <v xml:space="preserve">﻿柏承            </v>
      </c>
      <c r="B756">
        <v>1.0231401797666857</v>
      </c>
      <c r="C756">
        <v>1.0470677547921807</v>
      </c>
      <c r="D756">
        <v>0.9871622916267484</v>
      </c>
      <c r="E756">
        <v>0.91536873709889288</v>
      </c>
      <c r="F756">
        <v>0.89158699808795416</v>
      </c>
      <c r="G756">
        <v>0.88840137352155668</v>
      </c>
      <c r="H756">
        <v>0.92457277548615202</v>
      </c>
      <c r="I756">
        <v>0.90478994895956022</v>
      </c>
      <c r="J756">
        <v>0.85319548872180451</v>
      </c>
      <c r="K756">
        <v>0.86343003749753311</v>
      </c>
    </row>
    <row r="757" spans="1:11" x14ac:dyDescent="0.3">
      <c r="A757" s="1" t="str">
        <f>HYPERLINK("[.\tse_pressure_data\6142.xlsx]6142!$A268","﻿友勁            ")</f>
        <v xml:space="preserve">﻿友勁            </v>
      </c>
      <c r="B757">
        <v>0.76024272860431052</v>
      </c>
      <c r="C757">
        <v>0.75570632826569506</v>
      </c>
      <c r="D757">
        <v>0.73798841667346438</v>
      </c>
      <c r="E757">
        <v>0.72828471601527589</v>
      </c>
      <c r="F757">
        <v>0.71760689318809945</v>
      </c>
      <c r="G757">
        <v>0.6903701009366191</v>
      </c>
      <c r="H757">
        <v>0.6985493898227032</v>
      </c>
      <c r="I757">
        <v>0.70516890131236087</v>
      </c>
      <c r="J757">
        <v>0.70125622185351977</v>
      </c>
      <c r="K757">
        <v>0.67212653118693388</v>
      </c>
    </row>
    <row r="758" spans="1:11" x14ac:dyDescent="0.3">
      <c r="A758" s="1" t="str">
        <f>HYPERLINK("[.\tse_pressure_data\6145.xlsx]6145!$A268","﻿勁永            ")</f>
        <v xml:space="preserve">﻿勁永            </v>
      </c>
      <c r="B758">
        <v>0.774002087138012</v>
      </c>
      <c r="C758">
        <v>0.75833807986836277</v>
      </c>
      <c r="D758">
        <v>0.72451326076958456</v>
      </c>
      <c r="E758">
        <v>0.85057703404500862</v>
      </c>
      <c r="F758">
        <v>0.87861271676300579</v>
      </c>
      <c r="G758">
        <v>0.89241696260706083</v>
      </c>
      <c r="H758">
        <v>1.0840577139140204</v>
      </c>
      <c r="I758">
        <v>1.042881743499986</v>
      </c>
      <c r="J758">
        <v>1.0019258672998286</v>
      </c>
      <c r="K758">
        <v>0.97711241182650455</v>
      </c>
    </row>
    <row r="759" spans="1:11" x14ac:dyDescent="0.3">
      <c r="A759" s="1" t="str">
        <f>HYPERLINK("[.\tse_pressure_data\6152.xlsx]6152!$A268","﻿百一            ")</f>
        <v xml:space="preserve">﻿百一            </v>
      </c>
      <c r="B759">
        <v>0.91994301994301997</v>
      </c>
      <c r="C759">
        <v>0.90632118451025057</v>
      </c>
      <c r="D759">
        <v>0.86324066273518674</v>
      </c>
      <c r="E759">
        <v>0.81656475819899943</v>
      </c>
      <c r="F759">
        <v>0.79961675335340821</v>
      </c>
      <c r="G759">
        <v>0.79162162162162164</v>
      </c>
      <c r="H759">
        <v>0.78201634877384196</v>
      </c>
      <c r="I759">
        <v>0.7876787678767877</v>
      </c>
      <c r="J759">
        <v>0.82622739018087854</v>
      </c>
      <c r="K759">
        <v>0.80019685039370081</v>
      </c>
    </row>
    <row r="760" spans="1:11" x14ac:dyDescent="0.3">
      <c r="A760" s="1" t="str">
        <f>HYPERLINK("[.\tse_pressure_data\6153.xlsx]6153!$A268","﻿嘉聯益          ")</f>
        <v xml:space="preserve">﻿嘉聯益          </v>
      </c>
      <c r="B760">
        <v>1.2345312631313556</v>
      </c>
      <c r="C760">
        <v>1.1114263184662259</v>
      </c>
      <c r="D760">
        <v>0.97745103155550916</v>
      </c>
      <c r="E760">
        <v>1.0063215340138889</v>
      </c>
      <c r="F760">
        <v>0.9269771355043056</v>
      </c>
      <c r="G760">
        <v>0.9040624478821333</v>
      </c>
      <c r="H760">
        <v>1.0287992593995245</v>
      </c>
      <c r="I760">
        <v>1.0195219377456708</v>
      </c>
      <c r="J760">
        <v>1.0662460431218523</v>
      </c>
      <c r="K760">
        <v>1.1331789379433845</v>
      </c>
    </row>
    <row r="761" spans="1:11" x14ac:dyDescent="0.3">
      <c r="A761" s="1" t="str">
        <f>HYPERLINK("[.\tse_pressure_data\6155.xlsx]6155!$A268","﻿鈞寶            ")</f>
        <v xml:space="preserve">﻿鈞寶            </v>
      </c>
      <c r="B761">
        <v>1.0787037037037037</v>
      </c>
      <c r="C761">
        <v>0.88262425447316106</v>
      </c>
      <c r="D761">
        <v>0.86944775526420337</v>
      </c>
      <c r="E761">
        <v>0.86289747046229481</v>
      </c>
      <c r="F761">
        <v>0.85384736925264659</v>
      </c>
      <c r="G761">
        <v>0.84010628321350422</v>
      </c>
      <c r="H761">
        <v>0.85025980160604631</v>
      </c>
      <c r="I761">
        <v>0.82606324972737188</v>
      </c>
      <c r="J761">
        <v>0.79165690180454651</v>
      </c>
      <c r="K761">
        <v>0.76711690731252913</v>
      </c>
    </row>
    <row r="762" spans="1:11" x14ac:dyDescent="0.3">
      <c r="A762" s="1" t="str">
        <f>HYPERLINK("[.\tse_pressure_data\6164.xlsx]6164!$A268","﻿華興            ")</f>
        <v xml:space="preserve">﻿華興            </v>
      </c>
      <c r="B762">
        <v>0.97640966628308401</v>
      </c>
      <c r="C762">
        <v>0.98694362017804149</v>
      </c>
      <c r="D762">
        <v>0.95904037448800472</v>
      </c>
      <c r="E762">
        <v>0.74415954415954411</v>
      </c>
      <c r="F762">
        <v>1.3468328141225336</v>
      </c>
      <c r="G762">
        <v>1.4380252100840336</v>
      </c>
      <c r="H762">
        <v>1.5899772209567198</v>
      </c>
      <c r="I762">
        <v>1.5660592255125285</v>
      </c>
      <c r="J762">
        <v>1.6170212765957446</v>
      </c>
      <c r="K762">
        <v>1.5240274599542334</v>
      </c>
    </row>
    <row r="763" spans="1:11" x14ac:dyDescent="0.3">
      <c r="A763" s="1" t="str">
        <f>HYPERLINK("[.\tse_pressure_data\6165.xlsx]6165!$A268","﻿捷泰            ")</f>
        <v xml:space="preserve">﻿捷泰            </v>
      </c>
      <c r="B763">
        <v>1.8397143912347655</v>
      </c>
      <c r="C763">
        <v>1.8514106583072101</v>
      </c>
      <c r="D763">
        <v>1.7516045336610679</v>
      </c>
      <c r="E763">
        <v>1.7526911785264925</v>
      </c>
      <c r="F763">
        <v>2.0798732171156895</v>
      </c>
      <c r="G763">
        <v>2.2975504322766569</v>
      </c>
      <c r="H763">
        <v>2.7051876845212992</v>
      </c>
      <c r="I763">
        <v>2.3681623931623932</v>
      </c>
      <c r="J763">
        <v>2.3635392177815771</v>
      </c>
      <c r="K763">
        <v>2.6220866913526466</v>
      </c>
    </row>
    <row r="764" spans="1:11" x14ac:dyDescent="0.3">
      <c r="A764" s="1" t="str">
        <f>HYPERLINK("[.\tse_pressure_data\6166.xlsx]6166!$A268","﻿凌華            ")</f>
        <v xml:space="preserve">﻿凌華            </v>
      </c>
      <c r="B764">
        <v>1.4240170031880979</v>
      </c>
      <c r="C764">
        <v>1.2786377708978329</v>
      </c>
      <c r="D764">
        <v>1.1719999999999999</v>
      </c>
      <c r="E764">
        <v>1.1437185929648241</v>
      </c>
      <c r="F764">
        <v>1.2</v>
      </c>
      <c r="G764">
        <v>0.96431757359500447</v>
      </c>
      <c r="H764">
        <v>0.92819148936170215</v>
      </c>
      <c r="I764">
        <v>0.98022598870056499</v>
      </c>
      <c r="J764">
        <v>0.98113207547169812</v>
      </c>
      <c r="K764">
        <v>0.9761194029850746</v>
      </c>
    </row>
    <row r="765" spans="1:11" x14ac:dyDescent="0.3">
      <c r="A765" s="1" t="str">
        <f>HYPERLINK("[.\tse_pressure_data\6168.xlsx]6168!$A268","﻿宏齊            ")</f>
        <v xml:space="preserve">﻿宏齊            </v>
      </c>
      <c r="B765">
        <v>1.0858200720888604</v>
      </c>
      <c r="C765">
        <v>1.0239589275527667</v>
      </c>
      <c r="D765">
        <v>0.96783344665088034</v>
      </c>
      <c r="E765">
        <v>0.96275051507772991</v>
      </c>
      <c r="F765">
        <v>0.97133362974750193</v>
      </c>
      <c r="G765">
        <v>0.85367109002618213</v>
      </c>
      <c r="H765">
        <v>0.87892567537296717</v>
      </c>
      <c r="I765">
        <v>0.89956383916867266</v>
      </c>
      <c r="J765">
        <v>0.90843608838969603</v>
      </c>
      <c r="K765">
        <v>0.99956746304353361</v>
      </c>
    </row>
    <row r="766" spans="1:11" x14ac:dyDescent="0.3">
      <c r="A766" s="1" t="str">
        <f>HYPERLINK("[.\tse_pressure_data\6172.xlsx]6172!$A268","﻿互億            ")</f>
        <v xml:space="preserve">﻿互億            </v>
      </c>
      <c r="B766">
        <v>0.76923076923076927</v>
      </c>
      <c r="C766">
        <v>0.75</v>
      </c>
      <c r="D766">
        <v>0.81428571428571428</v>
      </c>
      <c r="E766">
        <v>0.54838709677419351</v>
      </c>
      <c r="F766">
        <v>0.56666666666666665</v>
      </c>
      <c r="G766">
        <v>0.6428571428571429</v>
      </c>
      <c r="H766">
        <v>0.6</v>
      </c>
      <c r="I766">
        <v>0.54838709677419351</v>
      </c>
      <c r="J766">
        <v>0.93103448275862066</v>
      </c>
      <c r="K766">
        <v>0.9642857142857143</v>
      </c>
    </row>
    <row r="767" spans="1:11" x14ac:dyDescent="0.3">
      <c r="A767" s="1" t="str">
        <f>HYPERLINK("[.\tse_pressure_data\6176.xlsx]6176!$A268","﻿瑞儀            ")</f>
        <v xml:space="preserve">﻿瑞儀            </v>
      </c>
      <c r="B767">
        <v>0.78249870399170551</v>
      </c>
      <c r="C767">
        <v>0.83723119404233959</v>
      </c>
      <c r="D767">
        <v>0.79676842455498254</v>
      </c>
      <c r="E767">
        <v>0.95391998432985647</v>
      </c>
      <c r="F767">
        <v>0.89923086025322452</v>
      </c>
      <c r="G767">
        <v>0.80163575081905392</v>
      </c>
      <c r="H767">
        <v>0.88641700967147297</v>
      </c>
      <c r="I767">
        <v>0.85210044833752296</v>
      </c>
      <c r="J767">
        <v>0.89475306911822416</v>
      </c>
      <c r="K767">
        <v>0.95572405590246801</v>
      </c>
    </row>
    <row r="768" spans="1:11" x14ac:dyDescent="0.3">
      <c r="A768" s="1" t="str">
        <f>HYPERLINK("[.\tse_pressure_data\6177.xlsx]6177!$A268","﻿達麗            ")</f>
        <v xml:space="preserve">﻿達麗            </v>
      </c>
      <c r="B768">
        <v>1.2369093231162196</v>
      </c>
      <c r="C768">
        <v>1.1987034949267192</v>
      </c>
      <c r="D768">
        <v>1.1451530612244898</v>
      </c>
      <c r="E768">
        <v>0.89243730407523514</v>
      </c>
      <c r="F768">
        <v>1.0074189769621242</v>
      </c>
      <c r="G768">
        <v>0.79428029704534686</v>
      </c>
      <c r="H768">
        <v>0.83820971058042071</v>
      </c>
      <c r="I768">
        <v>0.81639814962513957</v>
      </c>
      <c r="J768">
        <v>0.80429170700225883</v>
      </c>
      <c r="K768">
        <v>0.78710403601865253</v>
      </c>
    </row>
    <row r="769" spans="1:11" x14ac:dyDescent="0.3">
      <c r="A769" s="1" t="str">
        <f>HYPERLINK("[.\tse_pressure_data\6183.xlsx]6183!$A268","﻿關貿            ")</f>
        <v xml:space="preserve">﻿關貿            </v>
      </c>
      <c r="B769">
        <v>0.69922879177377895</v>
      </c>
      <c r="C769">
        <v>0.58625877632898693</v>
      </c>
      <c r="D769">
        <v>0.59786304031083048</v>
      </c>
      <c r="E769">
        <v>0.63617463617463621</v>
      </c>
      <c r="F769">
        <v>0.66030736618971908</v>
      </c>
      <c r="G769">
        <v>0.64088983050847459</v>
      </c>
      <c r="H769">
        <v>0.64047362755651238</v>
      </c>
      <c r="I769">
        <v>0.69988207547169812</v>
      </c>
      <c r="J769">
        <v>0.76363636363636367</v>
      </c>
      <c r="K769">
        <v>0.76446837146702562</v>
      </c>
    </row>
    <row r="770" spans="1:11" x14ac:dyDescent="0.3">
      <c r="A770" s="1" t="str">
        <f>HYPERLINK("[.\tse_pressure_data\6184.xlsx]6184!$A268","﻿大豐電          ")</f>
        <v xml:space="preserve">﻿大豐電          </v>
      </c>
      <c r="B770">
        <v>0.86363636363636365</v>
      </c>
      <c r="C770">
        <v>0.8139240506329114</v>
      </c>
      <c r="D770">
        <v>0.81829573934837097</v>
      </c>
      <c r="E770">
        <v>0.71923937360178969</v>
      </c>
      <c r="F770">
        <v>0.71587125416204223</v>
      </c>
      <c r="G770">
        <v>0.75</v>
      </c>
      <c r="H770">
        <v>0.77108433734939763</v>
      </c>
      <c r="I770">
        <v>0.76049943246311014</v>
      </c>
      <c r="J770">
        <v>0.75904977375565608</v>
      </c>
      <c r="K770">
        <v>0.68186423505572447</v>
      </c>
    </row>
    <row r="771" spans="1:11" x14ac:dyDescent="0.3">
      <c r="A771" s="1" t="str">
        <f>HYPERLINK("[.\tse_pressure_data\6189.xlsx]6189!$A268","﻿豐藝            ")</f>
        <v xml:space="preserve">﻿豐藝            </v>
      </c>
      <c r="B771">
        <v>0.85594043379734541</v>
      </c>
      <c r="C771">
        <v>0.83866837387964144</v>
      </c>
      <c r="D771">
        <v>0.82685624012638226</v>
      </c>
      <c r="E771">
        <v>0.81841030474395227</v>
      </c>
      <c r="F771">
        <v>0.80836012861736339</v>
      </c>
      <c r="G771">
        <v>0.7613526570048309</v>
      </c>
      <c r="H771">
        <v>0.76705107084019775</v>
      </c>
      <c r="I771">
        <v>0.66956241956241958</v>
      </c>
      <c r="J771">
        <v>0.75239284228048275</v>
      </c>
      <c r="K771">
        <v>0.88258650028360752</v>
      </c>
    </row>
    <row r="772" spans="1:11" x14ac:dyDescent="0.3">
      <c r="A772" s="1" t="str">
        <f>HYPERLINK("[.\tse_pressure_data\6191.xlsx]6191!$A268","﻿精成科          ")</f>
        <v xml:space="preserve">﻿精成科          </v>
      </c>
      <c r="B772">
        <v>1.3866011612326932</v>
      </c>
      <c r="C772">
        <v>1.4364098518713297</v>
      </c>
      <c r="D772">
        <v>1.3389167587790154</v>
      </c>
      <c r="E772">
        <v>1.3420876547340248</v>
      </c>
      <c r="F772">
        <v>1.3677474402730376</v>
      </c>
      <c r="G772">
        <v>1.4966989237587049</v>
      </c>
      <c r="H772">
        <v>1.5464019851116626</v>
      </c>
      <c r="I772">
        <v>1.2436318081488993</v>
      </c>
      <c r="J772">
        <v>1.2503277320939101</v>
      </c>
      <c r="K772">
        <v>1.2861262993450699</v>
      </c>
    </row>
    <row r="773" spans="1:11" x14ac:dyDescent="0.3">
      <c r="A773" s="1" t="str">
        <f>HYPERLINK("[.\tse_pressure_data\6192.xlsx]6192!$A268","﻿巨路            ")</f>
        <v xml:space="preserve">﻿巨路            </v>
      </c>
      <c r="B773">
        <v>1.0128205128205128</v>
      </c>
      <c r="C773">
        <v>1.0411700975081257</v>
      </c>
      <c r="D773">
        <v>1.01159114857745</v>
      </c>
      <c r="E773">
        <v>0.99896480331262938</v>
      </c>
      <c r="F773">
        <v>0.93731343283582091</v>
      </c>
      <c r="G773">
        <v>0.93737373737373741</v>
      </c>
      <c r="H773">
        <v>0.83482587064676617</v>
      </c>
      <c r="I773">
        <v>0.79664363277393879</v>
      </c>
      <c r="J773">
        <v>0.80083857442348005</v>
      </c>
      <c r="K773">
        <v>0.8351648351648352</v>
      </c>
    </row>
    <row r="774" spans="1:11" x14ac:dyDescent="0.3">
      <c r="A774" s="1" t="str">
        <f>HYPERLINK("[.\tse_pressure_data\6196.xlsx]6196!$A268","﻿帆宣            ")</f>
        <v xml:space="preserve">﻿帆宣            </v>
      </c>
      <c r="B774">
        <v>1.3092579505300352</v>
      </c>
      <c r="C774">
        <v>1.2204065364687127</v>
      </c>
      <c r="D774">
        <v>1.0684844237752438</v>
      </c>
      <c r="E774">
        <v>1.0693329909481928</v>
      </c>
      <c r="F774">
        <v>1.0362793061820954</v>
      </c>
      <c r="G774">
        <v>0.96152643102908975</v>
      </c>
      <c r="H774">
        <v>0.92835184139531968</v>
      </c>
      <c r="I774">
        <v>0.95960514352513315</v>
      </c>
      <c r="J774">
        <v>0.90645937682950628</v>
      </c>
      <c r="K774">
        <v>0.93843193843193839</v>
      </c>
    </row>
    <row r="775" spans="1:11" x14ac:dyDescent="0.3">
      <c r="A775" s="1" t="str">
        <f>HYPERLINK("[.\tse_pressure_data\6197.xlsx]6197!$A268","﻿佳必琪          ")</f>
        <v xml:space="preserve">﻿佳必琪          </v>
      </c>
      <c r="B775">
        <v>1.4553496208930077</v>
      </c>
      <c r="C775">
        <v>1.2061965811965811</v>
      </c>
      <c r="D775">
        <v>1.109072715143429</v>
      </c>
      <c r="E775">
        <v>1.0900753357353423</v>
      </c>
      <c r="F775">
        <v>1.0777741620566221</v>
      </c>
      <c r="G775">
        <v>1.0539744847890089</v>
      </c>
      <c r="H775">
        <v>1.0410958904109588</v>
      </c>
      <c r="I775">
        <v>0.94845699277741302</v>
      </c>
      <c r="J775">
        <v>0.89857369255150554</v>
      </c>
      <c r="K775">
        <v>0.81707687632938319</v>
      </c>
    </row>
    <row r="776" spans="1:11" x14ac:dyDescent="0.3">
      <c r="A776" s="1" t="str">
        <f>HYPERLINK("[.\tse_pressure_data\6201.xlsx]6201!$A268","﻿亞弘電          ")</f>
        <v xml:space="preserve">﻿亞弘電          </v>
      </c>
      <c r="B776">
        <v>1.3076923076923077</v>
      </c>
      <c r="C776">
        <v>1.2850241545893719</v>
      </c>
      <c r="D776">
        <v>1.3567839195979901</v>
      </c>
      <c r="E776">
        <v>1.3415841584158417</v>
      </c>
      <c r="F776">
        <v>1.3010204081632653</v>
      </c>
      <c r="G776">
        <v>1.60625</v>
      </c>
      <c r="H776">
        <v>2.25</v>
      </c>
      <c r="I776">
        <v>1.8363636363636364</v>
      </c>
      <c r="J776">
        <v>1.7939393939393939</v>
      </c>
      <c r="K776">
        <v>1.7245508982035929</v>
      </c>
    </row>
    <row r="777" spans="1:11" x14ac:dyDescent="0.3">
      <c r="A777" s="1" t="str">
        <f>HYPERLINK("[.\tse_pressure_data\6202.xlsx]6202!$A268","﻿盛群            ")</f>
        <v xml:space="preserve">﻿盛群            </v>
      </c>
      <c r="B777">
        <v>0.77793250570353467</v>
      </c>
      <c r="C777">
        <v>0.81486191268055697</v>
      </c>
      <c r="D777">
        <v>0.68610084385243042</v>
      </c>
      <c r="E777">
        <v>0.85669917989032851</v>
      </c>
      <c r="F777">
        <v>0.89475315017558354</v>
      </c>
      <c r="G777">
        <v>0.85215438023279555</v>
      </c>
      <c r="H777">
        <v>0.88606291510065383</v>
      </c>
      <c r="I777">
        <v>0.98671195923668698</v>
      </c>
      <c r="J777">
        <v>1.2574862927035007</v>
      </c>
      <c r="K777">
        <v>1.1996599340478153</v>
      </c>
    </row>
    <row r="778" spans="1:11" x14ac:dyDescent="0.3">
      <c r="A778" s="1" t="str">
        <f>HYPERLINK("[.\tse_pressure_data\6205.xlsx]6205!$A268","﻿詮欣            ")</f>
        <v xml:space="preserve">﻿詮欣            </v>
      </c>
      <c r="B778">
        <v>2.1102941176470589</v>
      </c>
      <c r="C778">
        <v>2.1973180076628354</v>
      </c>
      <c r="D778">
        <v>1.9547101449275361</v>
      </c>
      <c r="E778">
        <v>1.7024221453287198</v>
      </c>
      <c r="F778">
        <v>1.5336538461538463</v>
      </c>
      <c r="G778">
        <v>1.5144230769230769</v>
      </c>
      <c r="H778">
        <v>1.45625</v>
      </c>
      <c r="I778">
        <v>1.5313001605136436</v>
      </c>
      <c r="J778">
        <v>1.4616613418530351</v>
      </c>
      <c r="K778">
        <v>1.409375</v>
      </c>
    </row>
    <row r="779" spans="1:11" x14ac:dyDescent="0.3">
      <c r="A779" s="1" t="str">
        <f>HYPERLINK("[.\tse_pressure_data\6206.xlsx]6206!$A268","﻿飛捷            ")</f>
        <v xml:space="preserve">﻿飛捷            </v>
      </c>
      <c r="B779">
        <v>0.73677248677248675</v>
      </c>
      <c r="C779">
        <v>1.0187820147979512</v>
      </c>
      <c r="D779">
        <v>0.97131382673551347</v>
      </c>
      <c r="E779">
        <v>0.96588235294117653</v>
      </c>
      <c r="F779">
        <v>0.94016587677725116</v>
      </c>
      <c r="G779">
        <v>0.93662400975015236</v>
      </c>
      <c r="H779">
        <v>0.95372107567229514</v>
      </c>
      <c r="I779">
        <v>0.92464878671775219</v>
      </c>
      <c r="J779">
        <v>0.85314250155569382</v>
      </c>
      <c r="K779">
        <v>0.82393483709273185</v>
      </c>
    </row>
    <row r="780" spans="1:11" x14ac:dyDescent="0.3">
      <c r="A780" s="1" t="str">
        <f>HYPERLINK("[.\tse_pressure_data\6209.xlsx]6209!$A268","﻿今國光          ")</f>
        <v xml:space="preserve">﻿今國光          </v>
      </c>
      <c r="B780">
        <v>0.79572895508914465</v>
      </c>
      <c r="C780">
        <v>0.81366459627329191</v>
      </c>
      <c r="D780">
        <v>0.7250085684908032</v>
      </c>
      <c r="E780">
        <v>0.94399320682271282</v>
      </c>
      <c r="F780">
        <v>0.84962729357798161</v>
      </c>
      <c r="G780">
        <v>0.89962578750414479</v>
      </c>
      <c r="H780">
        <v>1.3012496676415848</v>
      </c>
      <c r="I780">
        <v>1.3888735123166345</v>
      </c>
      <c r="J780">
        <v>1.5403948367501898</v>
      </c>
      <c r="K780">
        <v>1.5413105413105412</v>
      </c>
    </row>
    <row r="781" spans="1:11" x14ac:dyDescent="0.3">
      <c r="A781" s="1" t="str">
        <f>HYPERLINK("[.\tse_pressure_data\6213.xlsx]6213!$A268","﻿聯茂            ")</f>
        <v xml:space="preserve">﻿聯茂            </v>
      </c>
      <c r="B781">
        <v>1.2786941580756013</v>
      </c>
      <c r="C781">
        <v>1.2166788783054685</v>
      </c>
      <c r="D781">
        <v>1.1364962084386545</v>
      </c>
      <c r="E781">
        <v>1.0929354664749236</v>
      </c>
      <c r="F781">
        <v>1.0738846764239112</v>
      </c>
      <c r="G781">
        <v>1.053467959382709</v>
      </c>
      <c r="H781">
        <v>1.0597493275339094</v>
      </c>
      <c r="I781">
        <v>1.0766189977909546</v>
      </c>
      <c r="J781">
        <v>1.1410862925923708</v>
      </c>
      <c r="K781">
        <v>1.0294051501180703</v>
      </c>
    </row>
    <row r="782" spans="1:11" x14ac:dyDescent="0.3">
      <c r="A782" s="1" t="str">
        <f>HYPERLINK("[.\tse_pressure_data\6214.xlsx]6214!$A268","﻿精誠            ")</f>
        <v xml:space="preserve">﻿精誠            </v>
      </c>
      <c r="B782">
        <v>1.2589022230965965</v>
      </c>
      <c r="C782">
        <v>1.2671367019193107</v>
      </c>
      <c r="D782">
        <v>1.0981798124655267</v>
      </c>
      <c r="E782">
        <v>1.0973434887609139</v>
      </c>
      <c r="F782">
        <v>1.0748584991783823</v>
      </c>
      <c r="G782">
        <v>1.0257589696412144</v>
      </c>
      <c r="H782">
        <v>1.0110071546505228</v>
      </c>
      <c r="I782">
        <v>0.99748695147883237</v>
      </c>
      <c r="J782">
        <v>1.0585879873551107</v>
      </c>
      <c r="K782">
        <v>0.99807774455360954</v>
      </c>
    </row>
    <row r="783" spans="1:11" x14ac:dyDescent="0.3">
      <c r="A783" s="1" t="str">
        <f>HYPERLINK("[.\tse_pressure_data\6215.xlsx]6215!$A268","﻿和椿            ")</f>
        <v xml:space="preserve">﻿和椿            </v>
      </c>
      <c r="B783">
        <v>0.58788069253185538</v>
      </c>
      <c r="C783">
        <v>0.55579425427066553</v>
      </c>
      <c r="D783">
        <v>0.55110250863410382</v>
      </c>
      <c r="E783">
        <v>0.51799138890232688</v>
      </c>
      <c r="F783">
        <v>0.49473784415556943</v>
      </c>
      <c r="G783">
        <v>0.55263062034799715</v>
      </c>
      <c r="H783">
        <v>0.50863577228477863</v>
      </c>
      <c r="I783">
        <v>0.57137506596979859</v>
      </c>
      <c r="J783">
        <v>0.57604153918774803</v>
      </c>
      <c r="K783">
        <v>0.53030355414188912</v>
      </c>
    </row>
    <row r="784" spans="1:11" x14ac:dyDescent="0.3">
      <c r="A784" s="1" t="str">
        <f>HYPERLINK("[.\tse_pressure_data\6216.xlsx]6216!$A268","﻿居易            ")</f>
        <v xml:space="preserve">﻿居易            </v>
      </c>
      <c r="B784">
        <v>0.82826300294406285</v>
      </c>
      <c r="C784">
        <v>0.80620884289745998</v>
      </c>
      <c r="D784">
        <v>0.78330206378986866</v>
      </c>
      <c r="E784">
        <v>0.84411764705882353</v>
      </c>
      <c r="F784">
        <v>0.78508341511285573</v>
      </c>
      <c r="G784">
        <v>0.79222108495394061</v>
      </c>
      <c r="H784">
        <v>0.79016064257028118</v>
      </c>
      <c r="I784">
        <v>0.83281412253374876</v>
      </c>
      <c r="J784">
        <v>0.83771929824561409</v>
      </c>
      <c r="K784">
        <v>0.85354691075514877</v>
      </c>
    </row>
    <row r="785" spans="1:11" x14ac:dyDescent="0.3">
      <c r="A785" s="1" t="str">
        <f>HYPERLINK("[.\tse_pressure_data\6224.xlsx]6224!$A268","﻿聚鼎            ")</f>
        <v xml:space="preserve">﻿聚鼎            </v>
      </c>
      <c r="B785">
        <v>2.0137524557956779</v>
      </c>
      <c r="C785">
        <v>2.4430107526881719</v>
      </c>
      <c r="D785">
        <v>2.0335051546391751</v>
      </c>
      <c r="E785">
        <v>2.0032706459525755</v>
      </c>
      <c r="F785">
        <v>1.7708779443254818</v>
      </c>
      <c r="G785">
        <v>1.7271468144044322</v>
      </c>
      <c r="H785">
        <v>1.6825726141078838</v>
      </c>
      <c r="I785">
        <v>1.6243016759776536</v>
      </c>
      <c r="J785">
        <v>1.6117814052519517</v>
      </c>
      <c r="K785">
        <v>1.6308243727598566</v>
      </c>
    </row>
    <row r="786" spans="1:11" x14ac:dyDescent="0.3">
      <c r="A786" s="1" t="str">
        <f>HYPERLINK("[.\tse_pressure_data\6225.xlsx]6225!$A268","﻿天瀚            ")</f>
        <v xml:space="preserve">﻿天瀚            </v>
      </c>
      <c r="B786">
        <v>1.2244897959183674</v>
      </c>
      <c r="C786">
        <v>1.2857142857142858</v>
      </c>
      <c r="D786">
        <v>1.4157303370786516</v>
      </c>
      <c r="E786">
        <v>1.65</v>
      </c>
      <c r="F786">
        <v>1.7215189873417722</v>
      </c>
      <c r="G786">
        <v>1.2959183673469388</v>
      </c>
      <c r="H786">
        <v>0.99145299145299148</v>
      </c>
      <c r="I786">
        <v>0.91200000000000003</v>
      </c>
      <c r="J786">
        <v>1.040983606557377</v>
      </c>
      <c r="K786">
        <v>1.0655737704918034</v>
      </c>
    </row>
    <row r="787" spans="1:11" x14ac:dyDescent="0.3">
      <c r="A787" s="1" t="str">
        <f>HYPERLINK("[.\tse_pressure_data\6226.xlsx]6226!$A268","﻿光鼎            ")</f>
        <v xml:space="preserve">﻿光鼎            </v>
      </c>
      <c r="B787">
        <v>0.91645226811103586</v>
      </c>
      <c r="C787">
        <v>0.90979619223349828</v>
      </c>
      <c r="D787">
        <v>0.89203341229273159</v>
      </c>
      <c r="E787">
        <v>0.87361025005166359</v>
      </c>
      <c r="F787">
        <v>0.86209753787878785</v>
      </c>
      <c r="G787">
        <v>0.84939357067158616</v>
      </c>
      <c r="H787">
        <v>0.89253311922922518</v>
      </c>
      <c r="I787">
        <v>0.87946464565024596</v>
      </c>
      <c r="J787">
        <v>0.84772647162495596</v>
      </c>
      <c r="K787">
        <v>0.80130978832885047</v>
      </c>
    </row>
    <row r="788" spans="1:11" x14ac:dyDescent="0.3">
      <c r="A788" s="1" t="str">
        <f>HYPERLINK("[.\tse_pressure_data\6230.xlsx]6230!$A268","﻿超眾            ")</f>
        <v xml:space="preserve">﻿超眾            </v>
      </c>
      <c r="B788">
        <v>0.90087951975429292</v>
      </c>
      <c r="C788">
        <v>0.94684385382059799</v>
      </c>
      <c r="D788">
        <v>0.79848525831755479</v>
      </c>
      <c r="E788">
        <v>0.79796714007240321</v>
      </c>
      <c r="F788">
        <v>0.75731248189979727</v>
      </c>
      <c r="G788">
        <v>0.7948624521770814</v>
      </c>
      <c r="H788">
        <v>1.0189181987743139</v>
      </c>
      <c r="I788">
        <v>1.0350925670074607</v>
      </c>
      <c r="J788">
        <v>1.2230169050715214</v>
      </c>
      <c r="K788">
        <v>1.204205160879261</v>
      </c>
    </row>
    <row r="789" spans="1:11" x14ac:dyDescent="0.3">
      <c r="A789" s="1" t="str">
        <f>HYPERLINK("[.\tse_pressure_data\6235.xlsx]6235!$A268","﻿華孚            ")</f>
        <v xml:space="preserve">﻿華孚            </v>
      </c>
      <c r="B789">
        <v>2.7053036126056877</v>
      </c>
      <c r="C789">
        <v>2.233261063639842</v>
      </c>
      <c r="D789">
        <v>2.1501410039481104</v>
      </c>
      <c r="E789">
        <v>2.4630077091243816</v>
      </c>
      <c r="F789">
        <v>1.8763453912761998</v>
      </c>
      <c r="G789">
        <v>1.7608428952875803</v>
      </c>
      <c r="H789">
        <v>2.6622057174887894</v>
      </c>
      <c r="I789">
        <v>1.1156564000119265</v>
      </c>
      <c r="J789">
        <v>1.102404377947255</v>
      </c>
      <c r="K789">
        <v>1.0684840055632823</v>
      </c>
    </row>
    <row r="790" spans="1:11" x14ac:dyDescent="0.3">
      <c r="A790" s="1" t="str">
        <f>HYPERLINK("[.\tse_pressure_data\6239.xlsx]6239!$A268","﻿力成            ")</f>
        <v xml:space="preserve">﻿力成            </v>
      </c>
      <c r="B790">
        <v>0.76842796672018687</v>
      </c>
      <c r="C790">
        <v>0.85017252687712097</v>
      </c>
      <c r="D790">
        <v>0.83967077689364034</v>
      </c>
      <c r="E790">
        <v>0.87853720855956563</v>
      </c>
      <c r="F790">
        <v>0.85561877667140829</v>
      </c>
      <c r="G790">
        <v>0.94572260647979611</v>
      </c>
      <c r="H790">
        <v>0.98836590373355637</v>
      </c>
      <c r="I790">
        <v>0.85955399419581491</v>
      </c>
      <c r="J790">
        <v>0.93376992462622022</v>
      </c>
      <c r="K790">
        <v>0.91943465861432649</v>
      </c>
    </row>
    <row r="791" spans="1:11" x14ac:dyDescent="0.3">
      <c r="A791" s="1" t="str">
        <f>HYPERLINK("[.\tse_pressure_data\6243.xlsx]6243!$A268","﻿迅杰            ")</f>
        <v xml:space="preserve">﻿迅杰            </v>
      </c>
      <c r="B791">
        <v>1.0879809126155682</v>
      </c>
      <c r="C791">
        <v>1.1052788547569341</v>
      </c>
      <c r="D791">
        <v>1.0135173190650522</v>
      </c>
      <c r="E791">
        <v>1.0737179487179487</v>
      </c>
      <c r="F791">
        <v>1.0349307159353349</v>
      </c>
      <c r="G791">
        <v>1.0691693762932308</v>
      </c>
      <c r="H791">
        <v>1.06438396254024</v>
      </c>
      <c r="I791">
        <v>0.9698535745047373</v>
      </c>
      <c r="J791">
        <v>1.1297790249035427</v>
      </c>
      <c r="K791">
        <v>1.569071192833569</v>
      </c>
    </row>
    <row r="792" spans="1:11" x14ac:dyDescent="0.3">
      <c r="A792" s="1" t="str">
        <f>HYPERLINK("[.\tse_pressure_data\6251.xlsx]6251!$A268","﻿定穎            ")</f>
        <v xml:space="preserve">﻿定穎            </v>
      </c>
      <c r="B792">
        <v>1.2218639798488664</v>
      </c>
      <c r="C792">
        <v>1.2395090065365999</v>
      </c>
      <c r="D792">
        <v>1.1286994298126527</v>
      </c>
      <c r="E792">
        <v>1.2188054714419965</v>
      </c>
      <c r="F792">
        <v>1.2234560067681894</v>
      </c>
      <c r="G792">
        <v>1.2332146223944696</v>
      </c>
      <c r="H792">
        <v>1.3662310507056978</v>
      </c>
      <c r="I792">
        <v>1.334638855997814</v>
      </c>
      <c r="J792">
        <v>0.88155810570551152</v>
      </c>
      <c r="K792">
        <v>0.84992612618276697</v>
      </c>
    </row>
    <row r="793" spans="1:11" x14ac:dyDescent="0.3">
      <c r="A793" s="1" t="str">
        <f>HYPERLINK("[.\tse_pressure_data\6257.xlsx]6257!$A268","﻿矽格            ")</f>
        <v xml:space="preserve">﻿矽格            </v>
      </c>
      <c r="B793">
        <v>0.95418865162836264</v>
      </c>
      <c r="C793">
        <v>0.93102628650453234</v>
      </c>
      <c r="D793">
        <v>0.87418211559432935</v>
      </c>
      <c r="E793">
        <v>0.86232807852160487</v>
      </c>
      <c r="F793">
        <v>0.89875908641231883</v>
      </c>
      <c r="G793">
        <v>0.88977891701377765</v>
      </c>
      <c r="H793">
        <v>1.0458002753917777</v>
      </c>
      <c r="I793">
        <v>0.85871323717239145</v>
      </c>
      <c r="J793">
        <v>0.83779789395898763</v>
      </c>
      <c r="K793">
        <v>0.86771942297977434</v>
      </c>
    </row>
    <row r="794" spans="1:11" x14ac:dyDescent="0.3">
      <c r="A794" s="1" t="str">
        <f>HYPERLINK("[.\tse_pressure_data\6269.xlsx]6269!$A268","﻿台郡            ")</f>
        <v xml:space="preserve">﻿台郡            </v>
      </c>
      <c r="B794">
        <v>1.0993609219486642</v>
      </c>
      <c r="C794">
        <v>1.0765173295904737</v>
      </c>
      <c r="D794">
        <v>0.90948266528075528</v>
      </c>
      <c r="E794">
        <v>1.0375472448776606</v>
      </c>
      <c r="F794">
        <v>1.0214282263129921</v>
      </c>
      <c r="G794">
        <v>0.95045149878979707</v>
      </c>
      <c r="H794">
        <v>1.2335060967976164</v>
      </c>
      <c r="I794">
        <v>1.2792766707904504</v>
      </c>
      <c r="J794">
        <v>1.3771895679252628</v>
      </c>
      <c r="K794">
        <v>1.430672094375675</v>
      </c>
    </row>
    <row r="795" spans="1:11" x14ac:dyDescent="0.3">
      <c r="A795" s="1" t="str">
        <f>HYPERLINK("[.\tse_pressure_data\6271.xlsx]6271!$A268","﻿同欣電          ")</f>
        <v xml:space="preserve">﻿同欣電          </v>
      </c>
      <c r="B795">
        <v>1.6436716880191469</v>
      </c>
      <c r="C795">
        <v>1.3345694009334441</v>
      </c>
      <c r="D795">
        <v>1.2996396860120962</v>
      </c>
      <c r="E795">
        <v>1.2396494792989585</v>
      </c>
      <c r="F795">
        <v>1.3044129664941433</v>
      </c>
      <c r="G795">
        <v>1.1246149009745363</v>
      </c>
      <c r="H795">
        <v>1.1828542160189512</v>
      </c>
      <c r="I795">
        <v>1.110214219186588</v>
      </c>
      <c r="J795">
        <v>1.1650885668276973</v>
      </c>
      <c r="K795">
        <v>1.1611440090714376</v>
      </c>
    </row>
    <row r="796" spans="1:11" x14ac:dyDescent="0.3">
      <c r="A796" s="1" t="str">
        <f>HYPERLINK("[.\tse_pressure_data\6277.xlsx]6277!$A268","﻿宏正            ")</f>
        <v xml:space="preserve">﻿宏正            </v>
      </c>
      <c r="B796">
        <v>0.76073619631901845</v>
      </c>
      <c r="C796">
        <v>0.87926621160409557</v>
      </c>
      <c r="D796">
        <v>0.84143763213530653</v>
      </c>
      <c r="E796">
        <v>0.9065550906555091</v>
      </c>
      <c r="F796">
        <v>0.87804878048780488</v>
      </c>
      <c r="G796">
        <v>0.92821782178217827</v>
      </c>
      <c r="H796">
        <v>0.95155532891381944</v>
      </c>
      <c r="I796">
        <v>0.93249370277078081</v>
      </c>
      <c r="J796">
        <v>0.74354561101549055</v>
      </c>
      <c r="K796">
        <v>0.72827041264266901</v>
      </c>
    </row>
    <row r="797" spans="1:11" x14ac:dyDescent="0.3">
      <c r="A797" s="1" t="str">
        <f>HYPERLINK("[.\tse_pressure_data\6278.xlsx]6278!$A268","﻿台表科          ")</f>
        <v xml:space="preserve">﻿台表科          </v>
      </c>
      <c r="B797">
        <v>1.5606626224918339</v>
      </c>
      <c r="C797">
        <v>1.5946274093185613</v>
      </c>
      <c r="D797">
        <v>1.6065123010130247</v>
      </c>
      <c r="E797">
        <v>1.5577075621364358</v>
      </c>
      <c r="F797">
        <v>1.4852931627816375</v>
      </c>
      <c r="G797">
        <v>1.4597258485639686</v>
      </c>
      <c r="H797">
        <v>1.6118702834998979</v>
      </c>
      <c r="I797">
        <v>1.6248968930437173</v>
      </c>
      <c r="J797">
        <v>1.623140722462129</v>
      </c>
      <c r="K797">
        <v>1.5811713331620858</v>
      </c>
    </row>
    <row r="798" spans="1:11" x14ac:dyDescent="0.3">
      <c r="A798" s="1" t="str">
        <f>HYPERLINK("[.\tse_pressure_data\6281.xlsx]6281!$A268","﻿全國電          ")</f>
        <v xml:space="preserve">﻿全國電          </v>
      </c>
      <c r="B798">
        <v>0.96436058700209648</v>
      </c>
      <c r="C798">
        <v>0.87787610619469025</v>
      </c>
      <c r="D798">
        <v>0.85061511423550085</v>
      </c>
      <c r="E798">
        <v>0.89103690685413006</v>
      </c>
      <c r="F798">
        <v>0.85620915032679734</v>
      </c>
      <c r="G798">
        <v>0.95915032679738566</v>
      </c>
      <c r="H798">
        <v>1.0545144804088586</v>
      </c>
      <c r="I798">
        <v>0.93968253968253967</v>
      </c>
      <c r="J798">
        <v>0.93977812995245646</v>
      </c>
      <c r="K798">
        <v>1.1179039301310043</v>
      </c>
    </row>
    <row r="799" spans="1:11" x14ac:dyDescent="0.3">
      <c r="A799" s="1" t="str">
        <f>HYPERLINK("[.\tse_pressure_data\6282.xlsx]6282!$A268","﻿康舒            ")</f>
        <v xml:space="preserve">﻿康舒            </v>
      </c>
      <c r="B799">
        <v>0.78166534417774247</v>
      </c>
      <c r="C799">
        <v>0.78428657738394925</v>
      </c>
      <c r="D799">
        <v>0.77707266100874173</v>
      </c>
      <c r="E799">
        <v>0.73396949510018261</v>
      </c>
      <c r="F799">
        <v>0.72986978910426714</v>
      </c>
      <c r="G799">
        <v>0.74361601214190853</v>
      </c>
      <c r="H799">
        <v>0.77839042702956363</v>
      </c>
      <c r="I799">
        <v>0.75104235670030783</v>
      </c>
      <c r="J799">
        <v>0.72375087691947926</v>
      </c>
      <c r="K799">
        <v>0.65599398424822897</v>
      </c>
    </row>
    <row r="800" spans="1:11" x14ac:dyDescent="0.3">
      <c r="A800" s="1" t="str">
        <f>HYPERLINK("[.\tse_pressure_data\6283.xlsx]6283!$A268","﻿淳安            ")</f>
        <v xml:space="preserve">﻿淳安            </v>
      </c>
      <c r="B800">
        <v>2.0925784238714615</v>
      </c>
      <c r="C800">
        <v>1.9175799086757992</v>
      </c>
      <c r="D800">
        <v>1.8412972972972972</v>
      </c>
      <c r="E800">
        <v>1.6992822062712505</v>
      </c>
      <c r="F800">
        <v>1.6243074173369079</v>
      </c>
      <c r="G800">
        <v>1.4825040128410916</v>
      </c>
      <c r="H800">
        <v>1.733479830481871</v>
      </c>
      <c r="I800">
        <v>1.6265405560332473</v>
      </c>
      <c r="J800">
        <v>1.7755422374429224</v>
      </c>
      <c r="K800">
        <v>2.4739199537639069</v>
      </c>
    </row>
    <row r="801" spans="1:11" x14ac:dyDescent="0.3">
      <c r="A801" s="1" t="str">
        <f>HYPERLINK("[.\tse_pressure_data\6285.xlsx]6285!$A268","﻿啟碁            ")</f>
        <v xml:space="preserve">﻿啟碁            </v>
      </c>
      <c r="B801">
        <v>1.1383438643165946</v>
      </c>
      <c r="C801">
        <v>1.0654466501240696</v>
      </c>
      <c r="D801">
        <v>0.95607591062136521</v>
      </c>
      <c r="E801">
        <v>0.95302430312912489</v>
      </c>
      <c r="F801">
        <v>0.96340605207600283</v>
      </c>
      <c r="G801">
        <v>0.82764531712638301</v>
      </c>
      <c r="H801">
        <v>0.97602552415679122</v>
      </c>
      <c r="I801">
        <v>1.0054169084929387</v>
      </c>
      <c r="J801">
        <v>1.0286481647269472</v>
      </c>
      <c r="K801">
        <v>0.97297822706065318</v>
      </c>
    </row>
    <row r="802" spans="1:11" x14ac:dyDescent="0.3">
      <c r="A802" s="1" t="str">
        <f>HYPERLINK("[.\tse_pressure_data\6289.xlsx]6289!$A268","﻿華上            ")</f>
        <v xml:space="preserve">﻿華上            </v>
      </c>
      <c r="B802">
        <v>1.0751633986928104</v>
      </c>
      <c r="C802">
        <v>0.93453009503695883</v>
      </c>
      <c r="D802">
        <v>1.3403361344537814</v>
      </c>
      <c r="E802">
        <v>0.99429223744292239</v>
      </c>
      <c r="F802">
        <v>1.0276497695852536</v>
      </c>
      <c r="G802">
        <v>1.0160944206008584</v>
      </c>
      <c r="H802">
        <v>1.1540284360189574</v>
      </c>
      <c r="I802">
        <v>0.7567567567567568</v>
      </c>
      <c r="J802">
        <v>0.64794383149448342</v>
      </c>
      <c r="K802">
        <v>0.64147088866189994</v>
      </c>
    </row>
    <row r="803" spans="1:11" x14ac:dyDescent="0.3">
      <c r="A803" s="1" t="str">
        <f>HYPERLINK("[.\tse_pressure_data\6405.xlsx]6405!$A268","﻿悅城            ")</f>
        <v xml:space="preserve">﻿悅城            </v>
      </c>
      <c r="B803">
        <v>0.86748216106014275</v>
      </c>
      <c r="C803">
        <v>0.8920863309352518</v>
      </c>
      <c r="D803">
        <v>0.88092835519677093</v>
      </c>
      <c r="E803">
        <v>0.87067209775967414</v>
      </c>
      <c r="F803">
        <v>0.84979423868312753</v>
      </c>
      <c r="G803">
        <v>0.84319833852544135</v>
      </c>
      <c r="H803">
        <v>0.83594566353187039</v>
      </c>
      <c r="I803">
        <v>0.89402480270574969</v>
      </c>
      <c r="J803">
        <v>0.94499999999999995</v>
      </c>
      <c r="K803">
        <v>0.98817345597897499</v>
      </c>
    </row>
    <row r="804" spans="1:11" x14ac:dyDescent="0.3">
      <c r="A804" s="1" t="str">
        <f>HYPERLINK("[.\tse_pressure_data\6409.xlsx]6409!$A268","﻿旭隼            ")</f>
        <v xml:space="preserve">﻿旭隼            </v>
      </c>
      <c r="B804">
        <v>1.1946308724832215</v>
      </c>
      <c r="C804">
        <v>0.99059561128526641</v>
      </c>
      <c r="D804">
        <v>0.87980769230769229</v>
      </c>
      <c r="E804">
        <v>0.97877358490566035</v>
      </c>
      <c r="F804">
        <v>0.8794642857142857</v>
      </c>
      <c r="G804">
        <v>0.98737373737373735</v>
      </c>
      <c r="H804">
        <v>0.95652173913043481</v>
      </c>
      <c r="I804">
        <v>0.91666666666666663</v>
      </c>
      <c r="J804">
        <v>0.90051020408163263</v>
      </c>
      <c r="K804">
        <v>0.85783132530120487</v>
      </c>
    </row>
    <row r="805" spans="1:11" x14ac:dyDescent="0.3">
      <c r="A805" s="1" t="str">
        <f>HYPERLINK("[.\tse_pressure_data\6412.xlsx]6412!$A268","﻿群電            ")</f>
        <v xml:space="preserve">﻿群電            </v>
      </c>
      <c r="B805">
        <v>1.5084033613445378</v>
      </c>
      <c r="C805">
        <v>1.4945761349939735</v>
      </c>
      <c r="D805">
        <v>1.565136476426799</v>
      </c>
      <c r="E805">
        <v>1.6522110660115359</v>
      </c>
      <c r="F805">
        <v>1.9158833453844299</v>
      </c>
      <c r="G805">
        <v>1.7289052358286456</v>
      </c>
      <c r="H805">
        <v>1.5495655608214849</v>
      </c>
      <c r="I805">
        <v>1.4930167597765363</v>
      </c>
      <c r="J805">
        <v>1.4546281142025823</v>
      </c>
      <c r="K805">
        <v>1.4518545587429197</v>
      </c>
    </row>
    <row r="806" spans="1:11" x14ac:dyDescent="0.3">
      <c r="A806" s="1" t="str">
        <f>HYPERLINK("[.\tse_pressure_data\6414.xlsx]6414!$A268","﻿樺漢            ")</f>
        <v xml:space="preserve">﻿樺漢            </v>
      </c>
      <c r="B806">
        <v>0.79170671426609918</v>
      </c>
      <c r="C806">
        <v>0.7824386296196385</v>
      </c>
      <c r="D806">
        <v>0.74555160142348753</v>
      </c>
      <c r="E806">
        <v>0.72317683669327559</v>
      </c>
      <c r="F806">
        <v>0.70782331027142098</v>
      </c>
      <c r="G806">
        <v>0.67124383415544597</v>
      </c>
      <c r="H806">
        <v>0.66870675891431608</v>
      </c>
      <c r="I806">
        <v>0.66612838110617678</v>
      </c>
      <c r="J806">
        <v>0.70749058446087321</v>
      </c>
      <c r="K806">
        <v>0.66981787849297925</v>
      </c>
    </row>
    <row r="807" spans="1:11" x14ac:dyDescent="0.3">
      <c r="A807" s="1" t="str">
        <f>HYPERLINK("[.\tse_pressure_data\6415.xlsx]6415!$A268","﻿F-矽力          ")</f>
        <v xml:space="preserve">﻿F-矽力          </v>
      </c>
      <c r="B807">
        <v>1.6666666666666667</v>
      </c>
      <c r="C807">
        <v>1.6958861976163013</v>
      </c>
      <c r="D807">
        <v>1.7318235995232421</v>
      </c>
      <c r="E807">
        <v>1.6443259710586444</v>
      </c>
      <c r="F807">
        <v>1.4845689960979072</v>
      </c>
      <c r="G807">
        <v>1.3916180006870491</v>
      </c>
      <c r="H807">
        <v>1.364185110663984</v>
      </c>
      <c r="I807">
        <v>1.394331700489853</v>
      </c>
      <c r="J807">
        <v>1.571076417419885</v>
      </c>
      <c r="K807">
        <v>1.4274870155813024</v>
      </c>
    </row>
    <row r="808" spans="1:11" x14ac:dyDescent="0.3">
      <c r="A808" s="1" t="str">
        <f>HYPERLINK("[.\tse_pressure_data\6422.xlsx]6422!$A268","﻿F-君耀          ")</f>
        <v xml:space="preserve">﻿F-君耀          </v>
      </c>
      <c r="B808">
        <v>1.520928387224757</v>
      </c>
      <c r="C808">
        <v>1.2212700505383431</v>
      </c>
      <c r="D808">
        <v>0.9334462320067739</v>
      </c>
      <c r="E808">
        <v>0.88737728994357268</v>
      </c>
      <c r="F808">
        <v>0.93457300275482091</v>
      </c>
      <c r="G808">
        <v>0.77749344251807306</v>
      </c>
      <c r="H808">
        <v>0.79544584768465365</v>
      </c>
      <c r="I808">
        <v>0.77386270685207326</v>
      </c>
      <c r="J808">
        <v>0.75980422915228718</v>
      </c>
      <c r="K808">
        <v>0.78340572304547773</v>
      </c>
    </row>
    <row r="809" spans="1:11" x14ac:dyDescent="0.3">
      <c r="A809" s="1" t="str">
        <f>HYPERLINK("[.\tse_pressure_data\6431.xlsx]6431!$A268","﻿F-光麗          ")</f>
        <v xml:space="preserve">﻿F-光麗          </v>
      </c>
      <c r="B809">
        <v>0.66382329173026844</v>
      </c>
      <c r="C809">
        <v>0.73060573857598299</v>
      </c>
      <c r="D809">
        <v>0.73839774130933478</v>
      </c>
      <c r="E809">
        <v>0.78241996744438413</v>
      </c>
      <c r="F809">
        <v>0.8512907852276802</v>
      </c>
      <c r="G809">
        <v>0.83981144558385712</v>
      </c>
      <c r="H809">
        <v>0.84199967902423367</v>
      </c>
      <c r="I809">
        <v>0.80349858801380614</v>
      </c>
      <c r="J809">
        <v>0.85807990459153249</v>
      </c>
      <c r="K809">
        <v>0.67898832684824906</v>
      </c>
    </row>
    <row r="810" spans="1:11" x14ac:dyDescent="0.3">
      <c r="A810" s="1" t="str">
        <f>HYPERLINK("[.\tse_pressure_data\6442.xlsx]6442!$A268","﻿光聖            ")</f>
        <v xml:space="preserve">﻿光聖            </v>
      </c>
      <c r="B810">
        <v>1.1705357142857142</v>
      </c>
      <c r="C810">
        <v>1.1453590192644483</v>
      </c>
      <c r="D810">
        <v>1.2057728119180633</v>
      </c>
      <c r="E810">
        <v>1.2009132420091324</v>
      </c>
      <c r="F810">
        <v>1.2337305224564619</v>
      </c>
      <c r="G810">
        <v>1.2102425876010781</v>
      </c>
      <c r="H810">
        <v>1.3963878326996197</v>
      </c>
      <c r="I810">
        <v>1.6788899900891971</v>
      </c>
      <c r="J810">
        <v>1.2724814063556458</v>
      </c>
      <c r="K810">
        <v>1.2123602892833663</v>
      </c>
    </row>
    <row r="811" spans="1:11" x14ac:dyDescent="0.3">
      <c r="A811" s="1" t="str">
        <f>HYPERLINK("[.\tse_pressure_data\6443.xlsx]6443!$A268","﻿元晶            ")</f>
        <v xml:space="preserve">﻿元晶            </v>
      </c>
      <c r="B811">
        <v>1.6199650869593327</v>
      </c>
      <c r="C811">
        <v>1.498820022357471</v>
      </c>
      <c r="D811">
        <v>1.4919030881245292</v>
      </c>
      <c r="E811">
        <v>1.4941037000062394</v>
      </c>
      <c r="F811">
        <v>1.532872407291012</v>
      </c>
      <c r="G811">
        <v>1.4635998765050942</v>
      </c>
      <c r="H811">
        <v>1.5069115815691159</v>
      </c>
      <c r="I811">
        <v>1.4666874221668742</v>
      </c>
      <c r="J811">
        <v>1.8349825378346916</v>
      </c>
      <c r="K811">
        <v>1.3298411998235553</v>
      </c>
    </row>
    <row r="812" spans="1:11" x14ac:dyDescent="0.3">
      <c r="A812" s="1" t="str">
        <f>HYPERLINK("[.\tse_pressure_data\6449.xlsx]6449!$A268","﻿鈺邦            ")</f>
        <v xml:space="preserve">﻿鈺邦            </v>
      </c>
      <c r="B812">
        <v>1.0490735715946973</v>
      </c>
      <c r="C812">
        <v>1.1760414158439683</v>
      </c>
      <c r="D812">
        <v>1.1188855469368371</v>
      </c>
      <c r="E812">
        <v>1.1634279795546147</v>
      </c>
      <c r="F812">
        <v>1.2450814808052222</v>
      </c>
      <c r="G812">
        <v>0.95381239714755894</v>
      </c>
      <c r="H812">
        <v>1.1157306488050414</v>
      </c>
      <c r="I812">
        <v>1.2734535982271296</v>
      </c>
      <c r="J812">
        <v>1.086446087211385</v>
      </c>
      <c r="K812">
        <v>1.0342864907301166</v>
      </c>
    </row>
    <row r="813" spans="1:11" x14ac:dyDescent="0.3">
      <c r="A813" s="1" t="str">
        <f>HYPERLINK("[.\tse_pressure_data\6451.xlsx]6451!$A268","﻿F-訊芯          ")</f>
        <v xml:space="preserve">﻿F-訊芯          </v>
      </c>
      <c r="B813">
        <v>0.93565266016935611</v>
      </c>
      <c r="C813">
        <v>0.75689964753607764</v>
      </c>
      <c r="D813">
        <v>0.78895421343310168</v>
      </c>
      <c r="E813">
        <v>0.78612492505202269</v>
      </c>
      <c r="F813">
        <v>0.73593975863112249</v>
      </c>
      <c r="G813">
        <v>0.75048238042043258</v>
      </c>
      <c r="H813">
        <v>0.67228227350926739</v>
      </c>
      <c r="I813">
        <v>0.74129353233830841</v>
      </c>
      <c r="J813">
        <v>0.68653846153846154</v>
      </c>
      <c r="K813">
        <v>0.6825683257324715</v>
      </c>
    </row>
    <row r="814" spans="1:11" x14ac:dyDescent="0.3">
      <c r="A814" s="1" t="str">
        <f>HYPERLINK("[.\tse_pressure_data\6452.xlsx]6452!$A268","﻿F-康友          ")</f>
        <v xml:space="preserve">﻿F-康友          </v>
      </c>
      <c r="B814">
        <v>1.3391014975041597</v>
      </c>
      <c r="C814">
        <v>1.3819610522719508</v>
      </c>
      <c r="D814">
        <v>1.537402307406029</v>
      </c>
      <c r="E814">
        <v>1.272875816993464</v>
      </c>
      <c r="F814">
        <v>1.1902106567534076</v>
      </c>
      <c r="G814">
        <v>1.2809375000000001</v>
      </c>
      <c r="H814">
        <v>1.1742378959952182</v>
      </c>
      <c r="I814">
        <v>1.1225561715786403</v>
      </c>
      <c r="J814">
        <v>0.93563501849568431</v>
      </c>
      <c r="K814">
        <v>0.9475138121546961</v>
      </c>
    </row>
    <row r="815" spans="1:11" x14ac:dyDescent="0.3">
      <c r="A815" s="1" t="str">
        <f>HYPERLINK("[.\tse_pressure_data\6456.xlsx]6456!$A268","﻿F-GIS           ")</f>
        <v xml:space="preserve">﻿F-GIS           </v>
      </c>
      <c r="B815">
        <v>1.0263204022325754</v>
      </c>
      <c r="C815">
        <v>1.0632215872041733</v>
      </c>
      <c r="D815">
        <v>0.91071875541521463</v>
      </c>
      <c r="E815">
        <v>1.0837836274226207</v>
      </c>
      <c r="F815">
        <v>1.0715242120460606</v>
      </c>
      <c r="G815">
        <v>1.0145399460865001</v>
      </c>
      <c r="H815">
        <v>1.33018090438683</v>
      </c>
      <c r="I815">
        <v>1.4216321846211111</v>
      </c>
      <c r="J815">
        <v>1.6838982730604997</v>
      </c>
      <c r="K815">
        <v>1.6004362875892406</v>
      </c>
    </row>
    <row r="816" spans="1:11" x14ac:dyDescent="0.3">
      <c r="A816" s="1" t="str">
        <f>HYPERLINK("[.\tse_pressure_data\6464.xlsx]6464!$A268","﻿台數科          ")</f>
        <v xml:space="preserve">﻿台數科          </v>
      </c>
      <c r="B816">
        <v>0.42332613390928725</v>
      </c>
      <c r="C816">
        <v>0.4252136752136752</v>
      </c>
      <c r="D816">
        <v>0.4252136752136752</v>
      </c>
      <c r="E816">
        <v>0.4168421052631579</v>
      </c>
      <c r="F816">
        <v>0.42105263157894735</v>
      </c>
      <c r="G816">
        <v>0.43020594965675057</v>
      </c>
      <c r="H816">
        <v>0.49735449735449733</v>
      </c>
      <c r="I816">
        <v>0.49627791563275436</v>
      </c>
      <c r="J816">
        <v>0.51184834123222744</v>
      </c>
      <c r="K816">
        <v>0.51529411764705879</v>
      </c>
    </row>
    <row r="817" spans="1:11" x14ac:dyDescent="0.3">
      <c r="A817" s="1" t="str">
        <f>HYPERLINK("[.\tse_pressure_data\6504.xlsx]6504!$A268","﻿南六            ")</f>
        <v xml:space="preserve">﻿南六            </v>
      </c>
      <c r="B817">
        <v>1.1052631578947369</v>
      </c>
      <c r="C817">
        <v>1.0990566037735849</v>
      </c>
      <c r="D817">
        <v>1.0657276995305165</v>
      </c>
      <c r="E817">
        <v>1.0535714285714286</v>
      </c>
      <c r="F817">
        <v>1.0092165898617511</v>
      </c>
      <c r="G817">
        <v>1.0694444444444444</v>
      </c>
      <c r="H817">
        <v>1.1288888888888888</v>
      </c>
      <c r="I817">
        <v>1.2914798206278026</v>
      </c>
      <c r="J817">
        <v>1.3952380952380952</v>
      </c>
      <c r="K817">
        <v>1.3348017621145374</v>
      </c>
    </row>
    <row r="818" spans="1:11" x14ac:dyDescent="0.3">
      <c r="A818" s="1" t="str">
        <f>HYPERLINK("[.\tse_pressure_data\6505.xlsx]6505!$A268","﻿台塑化          ")</f>
        <v xml:space="preserve">﻿台塑化          </v>
      </c>
      <c r="B818">
        <v>0.84662465312897117</v>
      </c>
      <c r="C818">
        <v>0.79004869367476582</v>
      </c>
      <c r="D818">
        <v>0.78181238660324626</v>
      </c>
      <c r="E818">
        <v>0.82209537103970887</v>
      </c>
      <c r="F818">
        <v>0.8861234317576987</v>
      </c>
      <c r="G818">
        <v>0.83039519566059672</v>
      </c>
      <c r="H818">
        <v>0.82065652522017618</v>
      </c>
      <c r="I818">
        <v>0.8501675561623433</v>
      </c>
      <c r="J818">
        <v>0.86449360313981349</v>
      </c>
      <c r="K818">
        <v>0.87268145161290323</v>
      </c>
    </row>
    <row r="819" spans="1:11" x14ac:dyDescent="0.3">
      <c r="A819" s="1" t="str">
        <f>HYPERLINK("[.\tse_pressure_data\6525.xlsx]6525!$A268","﻿F-捷敏          ")</f>
        <v xml:space="preserve">﻿F-捷敏          </v>
      </c>
      <c r="B819">
        <v>1.4432759719566604</v>
      </c>
      <c r="C819">
        <v>1.6187119706006385</v>
      </c>
      <c r="D819">
        <v>1.0737265415549597</v>
      </c>
      <c r="E819">
        <v>1.1612731225134325</v>
      </c>
      <c r="F819">
        <v>1.108537693006358</v>
      </c>
      <c r="G819">
        <v>1.0139757889009793</v>
      </c>
      <c r="H819">
        <v>1.0386759108210983</v>
      </c>
      <c r="I819">
        <v>1.0442696551004071</v>
      </c>
      <c r="J819">
        <v>1.1096659662343309</v>
      </c>
      <c r="K819">
        <v>1.1175975096136239</v>
      </c>
    </row>
    <row r="820" spans="1:11" x14ac:dyDescent="0.3">
      <c r="A820" s="1" t="str">
        <f>HYPERLINK("[.\tse_pressure_data\6605.xlsx]6605!$A268","﻿帝寶            ")</f>
        <v xml:space="preserve">﻿帝寶            </v>
      </c>
      <c r="B820">
        <v>1.2990654205607477</v>
      </c>
      <c r="C820">
        <v>1.3520599250936329</v>
      </c>
      <c r="D820">
        <v>1.0850400712377559</v>
      </c>
      <c r="E820">
        <v>1.1406109613656783</v>
      </c>
      <c r="F820">
        <v>1.0701754385964912</v>
      </c>
      <c r="G820">
        <v>0.96495726495726497</v>
      </c>
      <c r="H820">
        <v>1.1270133456051541</v>
      </c>
      <c r="I820">
        <v>1.0884754990925589</v>
      </c>
      <c r="J820">
        <v>1.2761116856256463</v>
      </c>
      <c r="K820">
        <v>1.2572944297082229</v>
      </c>
    </row>
    <row r="821" spans="1:11" x14ac:dyDescent="0.3">
      <c r="A821" s="1" t="str">
        <f>HYPERLINK("[.\tse_pressure_data\6702.xlsx]6702!$A268","﻿興航            ")</f>
        <v xml:space="preserve">﻿興航            </v>
      </c>
      <c r="B821">
        <v>0.77889513630958496</v>
      </c>
      <c r="C821">
        <v>0.76082959811593098</v>
      </c>
      <c r="D821">
        <v>0.78443334885289062</v>
      </c>
      <c r="E821">
        <v>0.77875858894697048</v>
      </c>
      <c r="F821">
        <v>0.79486450793226238</v>
      </c>
      <c r="G821">
        <v>1.1753237710625262</v>
      </c>
      <c r="H821">
        <v>0.77068827759388203</v>
      </c>
      <c r="I821">
        <v>1.2561846599730877</v>
      </c>
      <c r="J821">
        <v>1.2616874741427564</v>
      </c>
      <c r="K821">
        <v>1.2355260275972841</v>
      </c>
    </row>
    <row r="822" spans="1:11" x14ac:dyDescent="0.3">
      <c r="A822" s="1" t="str">
        <f>HYPERLINK("[.\tse_pressure_data\8011.xlsx]8011!$A268","﻿台通            ")</f>
        <v xml:space="preserve">﻿台通            </v>
      </c>
      <c r="B822">
        <v>0.76301750695018411</v>
      </c>
      <c r="C822">
        <v>0.76603210153042178</v>
      </c>
      <c r="D822">
        <v>0.76611156747068931</v>
      </c>
      <c r="E822">
        <v>0.75523385300668155</v>
      </c>
      <c r="F822">
        <v>0.73342642951638981</v>
      </c>
      <c r="G822">
        <v>0.73042901371074742</v>
      </c>
      <c r="H822">
        <v>0.7625278810408922</v>
      </c>
      <c r="I822">
        <v>0.69136139967195187</v>
      </c>
      <c r="J822">
        <v>0.69078493585322109</v>
      </c>
      <c r="K822">
        <v>0.67270185249912617</v>
      </c>
    </row>
    <row r="823" spans="1:11" x14ac:dyDescent="0.3">
      <c r="A823" s="1" t="str">
        <f>HYPERLINK("[.\tse_pressure_data\8016.xlsx]8016!$A268","﻿矽創            ")</f>
        <v xml:space="preserve">﻿矽創            </v>
      </c>
      <c r="B823">
        <v>1.0976383209546858</v>
      </c>
      <c r="C823">
        <v>1.144250197663182</v>
      </c>
      <c r="D823">
        <v>1.0461198093941457</v>
      </c>
      <c r="E823">
        <v>1.0394012388162424</v>
      </c>
      <c r="F823">
        <v>1.0492796907940969</v>
      </c>
      <c r="G823">
        <v>0.97660974742084672</v>
      </c>
      <c r="H823">
        <v>0.97398739873987394</v>
      </c>
      <c r="I823">
        <v>0.89521926671459384</v>
      </c>
      <c r="J823">
        <v>0.92617258110550849</v>
      </c>
      <c r="K823">
        <v>0.82125227331774486</v>
      </c>
    </row>
    <row r="824" spans="1:11" x14ac:dyDescent="0.3">
      <c r="A824" s="1" t="str">
        <f>HYPERLINK("[.\tse_pressure_data\8021.xlsx]8021!$A268","﻿尖點            ")</f>
        <v xml:space="preserve">﻿尖點            </v>
      </c>
      <c r="B824">
        <v>1.4292514063176114</v>
      </c>
      <c r="C824">
        <v>1.4755368607482842</v>
      </c>
      <c r="D824">
        <v>1.32398753894081</v>
      </c>
      <c r="E824">
        <v>1.5430011862396205</v>
      </c>
      <c r="F824">
        <v>1.4359124087591242</v>
      </c>
      <c r="G824">
        <v>1.5669024915410643</v>
      </c>
      <c r="H824">
        <v>1.7431436154526689</v>
      </c>
      <c r="I824">
        <v>1.2801760622989673</v>
      </c>
      <c r="J824">
        <v>1.1834758754235921</v>
      </c>
      <c r="K824">
        <v>1.1843385214007782</v>
      </c>
    </row>
    <row r="825" spans="1:11" x14ac:dyDescent="0.3">
      <c r="A825" s="1" t="str">
        <f>HYPERLINK("[.\tse_pressure_data\8033.xlsx]8033!$A268","﻿雷虎            ")</f>
        <v xml:space="preserve">﻿雷虎            </v>
      </c>
      <c r="B825">
        <v>0.69215481691260494</v>
      </c>
      <c r="C825">
        <v>0.70779479021674285</v>
      </c>
      <c r="D825">
        <v>0.71937135971078525</v>
      </c>
      <c r="E825">
        <v>0.69356189350278308</v>
      </c>
      <c r="F825">
        <v>0.72232454439705307</v>
      </c>
      <c r="G825">
        <v>0.74745119553787776</v>
      </c>
      <c r="H825">
        <v>0.65891842492152419</v>
      </c>
      <c r="I825">
        <v>0.59482630087967792</v>
      </c>
      <c r="J825">
        <v>0.55831023893341325</v>
      </c>
      <c r="K825">
        <v>0.56755698284640088</v>
      </c>
    </row>
    <row r="826" spans="1:11" x14ac:dyDescent="0.3">
      <c r="A826" s="1" t="str">
        <f>HYPERLINK("[.\tse_pressure_data\8039.xlsx]8039!$A268","﻿台虹            ")</f>
        <v xml:space="preserve">﻿台虹            </v>
      </c>
      <c r="B826">
        <v>1.5671081341655249</v>
      </c>
      <c r="C826">
        <v>1.6953852247969896</v>
      </c>
      <c r="D826">
        <v>1.3385118560915781</v>
      </c>
      <c r="E826">
        <v>1.4375188878815353</v>
      </c>
      <c r="F826">
        <v>1.5889907288496385</v>
      </c>
      <c r="G826">
        <v>1.3361080595998824</v>
      </c>
      <c r="H826">
        <v>1.387957744400838</v>
      </c>
      <c r="I826">
        <v>0.99523532447001217</v>
      </c>
      <c r="J826">
        <v>0.94029372282663137</v>
      </c>
      <c r="K826">
        <v>0.88380573512348748</v>
      </c>
    </row>
    <row r="827" spans="1:11" x14ac:dyDescent="0.3">
      <c r="A827" s="1" t="str">
        <f>HYPERLINK("[.\tse_pressure_data\8046.xlsx]8046!$A268","﻿南電            ")</f>
        <v xml:space="preserve">﻿南電            </v>
      </c>
      <c r="B827">
        <v>1.2232451940782205</v>
      </c>
      <c r="C827">
        <v>1.2307023265927375</v>
      </c>
      <c r="D827">
        <v>1.1451456310679611</v>
      </c>
      <c r="E827">
        <v>1.1936466492602262</v>
      </c>
      <c r="F827">
        <v>1.2186896449264597</v>
      </c>
      <c r="G827">
        <v>1.2296730930427493</v>
      </c>
      <c r="H827">
        <v>1.2687909141099456</v>
      </c>
      <c r="I827">
        <v>1.1533419708863655</v>
      </c>
      <c r="J827">
        <v>1.1489578435981822</v>
      </c>
      <c r="K827">
        <v>1.0862014021669852</v>
      </c>
    </row>
    <row r="828" spans="1:11" x14ac:dyDescent="0.3">
      <c r="A828" s="1" t="str">
        <f>HYPERLINK("[.\tse_pressure_data\8070.xlsx]8070!$A268","﻿長華            ")</f>
        <v xml:space="preserve">﻿長華            </v>
      </c>
      <c r="B828">
        <v>1.2655792555416143</v>
      </c>
      <c r="C828">
        <v>1.2081177875049742</v>
      </c>
      <c r="D828">
        <v>1.0772215754753589</v>
      </c>
      <c r="E828">
        <v>1.0289193302891932</v>
      </c>
      <c r="F828">
        <v>1.0372670807453417</v>
      </c>
      <c r="G828">
        <v>0.97371428571428575</v>
      </c>
      <c r="H828">
        <v>1.0330739299610896</v>
      </c>
      <c r="I828">
        <v>0.93865030674846628</v>
      </c>
      <c r="J828">
        <v>1.0395923167385339</v>
      </c>
      <c r="K828">
        <v>1.0114218196140212</v>
      </c>
    </row>
    <row r="829" spans="1:11" x14ac:dyDescent="0.3">
      <c r="A829" s="1" t="str">
        <f>HYPERLINK("[.\tse_pressure_data\8072.xlsx]8072!$A268","﻿陞泰            ")</f>
        <v xml:space="preserve">﻿陞泰            </v>
      </c>
      <c r="B829">
        <v>1.1335403726708075</v>
      </c>
      <c r="C829">
        <v>1.1349693251533743</v>
      </c>
      <c r="D829">
        <v>1.1503067484662577</v>
      </c>
      <c r="E829">
        <v>1.2258064516129032</v>
      </c>
      <c r="F829">
        <v>1.128930817610063</v>
      </c>
      <c r="G829">
        <v>1.0892307692307692</v>
      </c>
      <c r="H829">
        <v>1.1492063492063491</v>
      </c>
      <c r="I829">
        <v>1.1331058020477816</v>
      </c>
      <c r="J829">
        <v>1.1314878892733564</v>
      </c>
      <c r="K829">
        <v>1.0787671232876712</v>
      </c>
    </row>
    <row r="830" spans="1:11" x14ac:dyDescent="0.3">
      <c r="A830" s="1" t="str">
        <f>HYPERLINK("[.\tse_pressure_data\8081.xlsx]8081!$A268","﻿致新            ")</f>
        <v xml:space="preserve">﻿致新            </v>
      </c>
      <c r="B830">
        <v>1.2788347205707491</v>
      </c>
      <c r="C830">
        <v>1.0843924758515506</v>
      </c>
      <c r="D830">
        <v>1.0634020618556701</v>
      </c>
      <c r="E830">
        <v>0.98284561049445007</v>
      </c>
      <c r="F830">
        <v>0.9862651875330164</v>
      </c>
      <c r="G830">
        <v>0.95061728395061729</v>
      </c>
      <c r="H830">
        <v>0.98492191707054388</v>
      </c>
      <c r="I830">
        <v>0.89837611314824517</v>
      </c>
      <c r="J830">
        <v>0.93913043478260871</v>
      </c>
      <c r="K830">
        <v>0.85989304812834222</v>
      </c>
    </row>
    <row r="831" spans="1:11" x14ac:dyDescent="0.3">
      <c r="A831" s="1" t="str">
        <f>HYPERLINK("[.\tse_pressure_data\8101.xlsx]8101!$A268","﻿華冠            ")</f>
        <v xml:space="preserve">﻿華冠            </v>
      </c>
      <c r="B831">
        <v>1.2719933184855234</v>
      </c>
      <c r="C831">
        <v>1.2935830349765904</v>
      </c>
      <c r="D831">
        <v>1.2798376184032476</v>
      </c>
      <c r="E831">
        <v>1.2930372807017543</v>
      </c>
      <c r="F831">
        <v>1.238695533022746</v>
      </c>
      <c r="G831">
        <v>1.1396938217605248</v>
      </c>
      <c r="H831">
        <v>1.228138013087448</v>
      </c>
      <c r="I831">
        <v>1.2912621359223302</v>
      </c>
      <c r="J831">
        <v>1.209247384407695</v>
      </c>
      <c r="K831">
        <v>1.2562128106405319</v>
      </c>
    </row>
    <row r="832" spans="1:11" x14ac:dyDescent="0.3">
      <c r="A832" s="1" t="str">
        <f>HYPERLINK("[.\tse_pressure_data\8103.xlsx]8103!$A268","﻿瀚荃            ")</f>
        <v xml:space="preserve">﻿瀚荃            </v>
      </c>
      <c r="B832">
        <v>1.625</v>
      </c>
      <c r="C832">
        <v>1.5234215885947047</v>
      </c>
      <c r="D832">
        <v>1.4381591562799616</v>
      </c>
      <c r="E832">
        <v>1.4068117313150426</v>
      </c>
      <c r="F832">
        <v>1.3550135501355014</v>
      </c>
      <c r="G832">
        <v>1.3242290748898677</v>
      </c>
      <c r="H832">
        <v>1.52516010978957</v>
      </c>
      <c r="I832">
        <v>1.4629460201280877</v>
      </c>
      <c r="J832">
        <v>1.4333034914950762</v>
      </c>
      <c r="K832">
        <v>1.4162257495590829</v>
      </c>
    </row>
    <row r="833" spans="1:11" x14ac:dyDescent="0.3">
      <c r="A833" s="1" t="str">
        <f>HYPERLINK("[.\tse_pressure_data\8105.xlsx]8105!$A268","﻿凌巨            ")</f>
        <v xml:space="preserve">﻿凌巨            </v>
      </c>
      <c r="B833">
        <v>1.1683725401492875</v>
      </c>
      <c r="C833">
        <v>1.1536374102297022</v>
      </c>
      <c r="D833">
        <v>1.1404226312201773</v>
      </c>
      <c r="E833">
        <v>1.1842394288852278</v>
      </c>
      <c r="F833">
        <v>1.1923066362812662</v>
      </c>
      <c r="G833">
        <v>1.228224641706477</v>
      </c>
      <c r="H833">
        <v>1.1861692352122659</v>
      </c>
      <c r="I833">
        <v>1.1174420062695924</v>
      </c>
      <c r="J833">
        <v>1.1636728126401308</v>
      </c>
      <c r="K833">
        <v>1.1461365737683264</v>
      </c>
    </row>
    <row r="834" spans="1:11" x14ac:dyDescent="0.3">
      <c r="A834" s="1" t="str">
        <f>HYPERLINK("[.\tse_pressure_data\8110.xlsx]8110!$A268","﻿華東            ")</f>
        <v xml:space="preserve">﻿華東            </v>
      </c>
      <c r="B834">
        <v>1.8097926735624916</v>
      </c>
      <c r="C834">
        <v>1.6524291670211861</v>
      </c>
      <c r="D834">
        <v>1.6841503683007366</v>
      </c>
      <c r="E834">
        <v>1.8384418068779618</v>
      </c>
      <c r="F834">
        <v>1.806388830124815</v>
      </c>
      <c r="G834">
        <v>1.9090909090909092</v>
      </c>
      <c r="H834">
        <v>1.8874768617399971</v>
      </c>
      <c r="I834">
        <v>1.8104628037887214</v>
      </c>
      <c r="J834">
        <v>1.8487248642927863</v>
      </c>
      <c r="K834">
        <v>1.8241831815747187</v>
      </c>
    </row>
    <row r="835" spans="1:11" x14ac:dyDescent="0.3">
      <c r="A835" s="1" t="str">
        <f>HYPERLINK("[.\tse_pressure_data\8112.xlsx]8112!$A268","﻿至上            ")</f>
        <v xml:space="preserve">﻿至上            </v>
      </c>
      <c r="B835">
        <v>1.4040620487259514</v>
      </c>
      <c r="C835">
        <v>1.4457613778415668</v>
      </c>
      <c r="D835">
        <v>1.3771779362643315</v>
      </c>
      <c r="E835">
        <v>1.423626719410231</v>
      </c>
      <c r="F835">
        <v>1.3042296445780652</v>
      </c>
      <c r="G835">
        <v>1.2918126004367712</v>
      </c>
      <c r="H835">
        <v>1.3777980813156692</v>
      </c>
      <c r="I835">
        <v>1.2244088963726936</v>
      </c>
      <c r="J835">
        <v>0.95719158930768367</v>
      </c>
      <c r="K835">
        <v>1.5079847053531263</v>
      </c>
    </row>
    <row r="836" spans="1:11" x14ac:dyDescent="0.3">
      <c r="A836" s="1" t="str">
        <f>HYPERLINK("[.\tse_pressure_data\8114.xlsx]8114!$A268","﻿振樺電          ")</f>
        <v xml:space="preserve">﻿振樺電          </v>
      </c>
      <c r="B836">
        <v>0.84292630446476602</v>
      </c>
      <c r="C836">
        <v>0.84590341833966354</v>
      </c>
      <c r="D836">
        <v>0.77201512695840091</v>
      </c>
      <c r="E836">
        <v>0.76756471209720023</v>
      </c>
      <c r="F836">
        <v>0.74616171954964172</v>
      </c>
      <c r="G836">
        <v>0.69788519637462232</v>
      </c>
      <c r="H836">
        <v>0.65911330049261085</v>
      </c>
      <c r="I836">
        <v>0.68121827411167513</v>
      </c>
      <c r="J836">
        <v>0.7148309705561614</v>
      </c>
      <c r="K836">
        <v>0.67128236002408193</v>
      </c>
    </row>
    <row r="837" spans="1:11" x14ac:dyDescent="0.3">
      <c r="A837" s="1" t="str">
        <f>HYPERLINK("[.\tse_pressure_data\8131.xlsx]8131!$A268","﻿福懋科          ")</f>
        <v xml:space="preserve">﻿福懋科          </v>
      </c>
      <c r="B837">
        <v>1.1735067045916294</v>
      </c>
      <c r="C837">
        <v>1.0676790401199849</v>
      </c>
      <c r="D837">
        <v>1.0807560137457044</v>
      </c>
      <c r="E837">
        <v>1.1284038958457563</v>
      </c>
      <c r="F837">
        <v>1.0673413779680809</v>
      </c>
      <c r="G837">
        <v>1.0279913266311846</v>
      </c>
      <c r="H837">
        <v>1.0825108566916699</v>
      </c>
      <c r="I837">
        <v>1.1069169557233218</v>
      </c>
      <c r="J837">
        <v>1.1174406604747162</v>
      </c>
      <c r="K837">
        <v>1.0732510288065844</v>
      </c>
    </row>
    <row r="838" spans="1:11" x14ac:dyDescent="0.3">
      <c r="A838" s="1" t="str">
        <f>HYPERLINK("[.\tse_pressure_data\8150.xlsx]8150!$A268","﻿南茂            ")</f>
        <v xml:space="preserve">﻿南茂            </v>
      </c>
      <c r="B838">
        <v>1.1920128990045333</v>
      </c>
      <c r="C838">
        <v>1.0752991598065009</v>
      </c>
      <c r="D838">
        <v>1.1030876059044459</v>
      </c>
      <c r="E838">
        <v>1.1422987395142519</v>
      </c>
      <c r="F838">
        <v>1.0278197824961159</v>
      </c>
      <c r="G838">
        <v>0.95560506663365929</v>
      </c>
      <c r="H838">
        <v>1.0206671111206693</v>
      </c>
      <c r="I838">
        <v>1.0196220134463352</v>
      </c>
      <c r="J838">
        <v>1.0158719805187746</v>
      </c>
      <c r="K838">
        <v>1.022775098640947</v>
      </c>
    </row>
    <row r="839" spans="1:11" x14ac:dyDescent="0.3">
      <c r="A839" s="1" t="str">
        <f>HYPERLINK("[.\tse_pressure_data\8163.xlsx]8163!$A268","﻿達方            ")</f>
        <v xml:space="preserve">﻿達方            </v>
      </c>
      <c r="B839">
        <v>1.1662602313059856</v>
      </c>
      <c r="C839">
        <v>1.1142425880868703</v>
      </c>
      <c r="D839">
        <v>1.0161909179069866</v>
      </c>
      <c r="E839">
        <v>0.99781194918859784</v>
      </c>
      <c r="F839">
        <v>0.98078726333220279</v>
      </c>
      <c r="G839">
        <v>0.91252237821539617</v>
      </c>
      <c r="H839">
        <v>0.93322264208557582</v>
      </c>
      <c r="I839">
        <v>0.92477091896376185</v>
      </c>
      <c r="J839">
        <v>0.92400067974547306</v>
      </c>
      <c r="K839">
        <v>0.87911963027502082</v>
      </c>
    </row>
    <row r="840" spans="1:11" x14ac:dyDescent="0.3">
      <c r="A840" s="1" t="str">
        <f>HYPERLINK("[.\tse_pressure_data\8201.xlsx]8201!$A268","﻿無敵            ")</f>
        <v xml:space="preserve">﻿無敵            </v>
      </c>
      <c r="B840">
        <v>1.0568104038329911</v>
      </c>
      <c r="C840">
        <v>1.0647382920110193</v>
      </c>
      <c r="D840">
        <v>1.0278745644599303</v>
      </c>
      <c r="E840">
        <v>0.98666666666666669</v>
      </c>
      <c r="F840">
        <v>0.94964028776978415</v>
      </c>
      <c r="G840">
        <v>0.9505840071877808</v>
      </c>
      <c r="H840">
        <v>1.0733197556008147</v>
      </c>
      <c r="I840">
        <v>1.0693928128872368</v>
      </c>
      <c r="J840">
        <v>1.2231759656652361</v>
      </c>
      <c r="K840">
        <v>1.0317273795534665</v>
      </c>
    </row>
    <row r="841" spans="1:11" x14ac:dyDescent="0.3">
      <c r="A841" s="1" t="str">
        <f>HYPERLINK("[.\tse_pressure_data\8210.xlsx]8210!$A268","﻿勤誠            ")</f>
        <v xml:space="preserve">﻿勤誠            </v>
      </c>
      <c r="B841">
        <v>0.80594154288452324</v>
      </c>
      <c r="C841">
        <v>0.847269212179797</v>
      </c>
      <c r="D841">
        <v>0.89651790093182937</v>
      </c>
      <c r="E841">
        <v>0.91696938245978199</v>
      </c>
      <c r="F841">
        <v>0.92950391644908614</v>
      </c>
      <c r="G841">
        <v>0.93497640272679605</v>
      </c>
      <c r="H841">
        <v>0.89700659563673257</v>
      </c>
      <c r="I841">
        <v>0.83293095123128924</v>
      </c>
      <c r="J841">
        <v>0.80344332855093259</v>
      </c>
      <c r="K841">
        <v>0.8716182980816527</v>
      </c>
    </row>
    <row r="842" spans="1:11" x14ac:dyDescent="0.3">
      <c r="A842" s="1" t="str">
        <f>HYPERLINK("[.\tse_pressure_data\8213.xlsx]8213!$A268","﻿志超            ")</f>
        <v xml:space="preserve">﻿志超            </v>
      </c>
      <c r="B842">
        <v>1.1191574724172517</v>
      </c>
      <c r="C842">
        <v>1.0657796101949026</v>
      </c>
      <c r="D842">
        <v>1.0057058715258604</v>
      </c>
      <c r="E842">
        <v>0.97461835571086997</v>
      </c>
      <c r="F842">
        <v>0.94975333455143429</v>
      </c>
      <c r="G842">
        <v>0.99321394910461824</v>
      </c>
      <c r="H842">
        <v>1.1476624857468642</v>
      </c>
      <c r="I842">
        <v>1.1050474948780034</v>
      </c>
      <c r="J842">
        <v>1.1120213373975996</v>
      </c>
      <c r="K842">
        <v>1.0778995960761686</v>
      </c>
    </row>
    <row r="843" spans="1:11" x14ac:dyDescent="0.3">
      <c r="A843" s="1" t="str">
        <f>HYPERLINK("[.\tse_pressure_data\8215.xlsx]8215!$A268","﻿明基材          ")</f>
        <v xml:space="preserve">﻿明基材          </v>
      </c>
      <c r="B843">
        <v>1.14041310244106</v>
      </c>
      <c r="C843">
        <v>1.0909790714457541</v>
      </c>
      <c r="D843">
        <v>1.0255980007140306</v>
      </c>
      <c r="E843">
        <v>0.935472393828638</v>
      </c>
      <c r="F843">
        <v>0.94034463382655931</v>
      </c>
      <c r="G843">
        <v>0.92656172533465542</v>
      </c>
      <c r="H843">
        <v>0.95214505731796384</v>
      </c>
      <c r="I843">
        <v>0.95944113287286714</v>
      </c>
      <c r="J843">
        <v>1.000470824570765</v>
      </c>
      <c r="K843">
        <v>0.80776704197609728</v>
      </c>
    </row>
    <row r="844" spans="1:11" x14ac:dyDescent="0.3">
      <c r="A844" s="1" t="str">
        <f>HYPERLINK("[.\tse_pressure_data\8222.xlsx]8222!$A268","﻿寶一            ")</f>
        <v xml:space="preserve">﻿寶一            </v>
      </c>
      <c r="B844">
        <v>1.6302281368821292</v>
      </c>
      <c r="C844">
        <v>1.370739180390655</v>
      </c>
      <c r="D844">
        <v>1.3889532638084203</v>
      </c>
      <c r="E844">
        <v>1.4045689019896832</v>
      </c>
      <c r="F844">
        <v>1.1435579654014976</v>
      </c>
      <c r="G844">
        <v>1.1023839397741531</v>
      </c>
      <c r="H844">
        <v>1.1262351778656126</v>
      </c>
      <c r="I844">
        <v>1.214983713355049</v>
      </c>
      <c r="J844">
        <v>1.2372964972866305</v>
      </c>
      <c r="K844">
        <v>1.2627035027133695</v>
      </c>
    </row>
    <row r="845" spans="1:11" x14ac:dyDescent="0.3">
      <c r="A845" s="1" t="str">
        <f>HYPERLINK("[.\tse_pressure_data\8249.xlsx]8249!$A268","﻿菱光            ")</f>
        <v xml:space="preserve">﻿菱光            </v>
      </c>
      <c r="B845">
        <v>1.3366960907944514</v>
      </c>
      <c r="C845">
        <v>1.2161428894415556</v>
      </c>
      <c r="D845">
        <v>1.1149375807145931</v>
      </c>
      <c r="E845">
        <v>1.3005750130684788</v>
      </c>
      <c r="F845">
        <v>1.3491218733368813</v>
      </c>
      <c r="G845">
        <v>1.3282626100880706</v>
      </c>
      <c r="H845">
        <v>1.4866876610363584</v>
      </c>
      <c r="I845">
        <v>1.5312855517633674</v>
      </c>
      <c r="J845">
        <v>1.5613682092555332</v>
      </c>
      <c r="K845">
        <v>1.5667414469994392</v>
      </c>
    </row>
    <row r="846" spans="1:11" x14ac:dyDescent="0.3">
      <c r="A846" s="1" t="str">
        <f>HYPERLINK("[.\tse_pressure_data\8261.xlsx]8261!$A268","﻿富鼎            ")</f>
        <v xml:space="preserve">﻿富鼎            </v>
      </c>
      <c r="B846">
        <v>1.025631569242117</v>
      </c>
      <c r="C846">
        <v>1.1371326372776489</v>
      </c>
      <c r="D846">
        <v>1.0194073266066721</v>
      </c>
      <c r="E846">
        <v>1.1518635367092669</v>
      </c>
      <c r="F846">
        <v>1.2713095970040802</v>
      </c>
      <c r="G846">
        <v>0.99926294453657638</v>
      </c>
      <c r="H846">
        <v>1.0172927002126151</v>
      </c>
      <c r="I846">
        <v>1.0536237714811196</v>
      </c>
      <c r="J846">
        <v>1.1057927010775734</v>
      </c>
      <c r="K846">
        <v>1.0513813728282542</v>
      </c>
    </row>
    <row r="847" spans="1:11" x14ac:dyDescent="0.3">
      <c r="A847" s="1" t="str">
        <f>HYPERLINK("[.\tse_pressure_data\8271.xlsx]8271!$A268","﻿宇瞻            ")</f>
        <v xml:space="preserve">﻿宇瞻            </v>
      </c>
      <c r="B847">
        <v>1.9235964542000845</v>
      </c>
      <c r="C847">
        <v>1.704367301231803</v>
      </c>
      <c r="D847">
        <v>1.6430407638633859</v>
      </c>
      <c r="E847">
        <v>1.6666666666666667</v>
      </c>
      <c r="F847">
        <v>1.5986866107260125</v>
      </c>
      <c r="G847">
        <v>1.5770057306590257</v>
      </c>
      <c r="H847">
        <v>1.8136241867585152</v>
      </c>
      <c r="I847">
        <v>1.4102564102564104</v>
      </c>
      <c r="J847">
        <v>1.4503429764390099</v>
      </c>
      <c r="K847">
        <v>1.3990624084383241</v>
      </c>
    </row>
    <row r="848" spans="1:11" x14ac:dyDescent="0.3">
      <c r="A848" s="1" t="str">
        <f>HYPERLINK("[.\tse_pressure_data\8341.xlsx]8341!$A268","﻿日友            ")</f>
        <v xml:space="preserve">﻿日友            </v>
      </c>
      <c r="B848">
        <v>1.6778625954198474</v>
      </c>
      <c r="C848">
        <v>1.7389432485322895</v>
      </c>
      <c r="D848">
        <v>1.9158351409978307</v>
      </c>
      <c r="E848">
        <v>1.5555130168453293</v>
      </c>
      <c r="F848">
        <v>1.4669987546699876</v>
      </c>
      <c r="G848">
        <v>1.1593820648078372</v>
      </c>
      <c r="H848">
        <v>1.1664190193164934</v>
      </c>
      <c r="I848">
        <v>1.1610965076980848</v>
      </c>
      <c r="J848">
        <v>1.1634439985406786</v>
      </c>
      <c r="K848">
        <v>1.1801557737893666</v>
      </c>
    </row>
    <row r="849" spans="1:11" x14ac:dyDescent="0.3">
      <c r="A849" s="1" t="str">
        <f>HYPERLINK("[.\tse_pressure_data\8374.xlsx]8374!$A268","﻿羅昇            ")</f>
        <v xml:space="preserve">﻿羅昇            </v>
      </c>
      <c r="B849">
        <v>0.8801950313443232</v>
      </c>
      <c r="C849">
        <v>0.87710018668326073</v>
      </c>
      <c r="D849">
        <v>0.83173601843988842</v>
      </c>
      <c r="E849">
        <v>0.76466263682404834</v>
      </c>
      <c r="F849">
        <v>0.79667184379853562</v>
      </c>
      <c r="G849">
        <v>0.67428263020599077</v>
      </c>
      <c r="H849">
        <v>0.74722626919197577</v>
      </c>
      <c r="I849">
        <v>0.84304819581125412</v>
      </c>
      <c r="J849">
        <v>0.82562722893073892</v>
      </c>
      <c r="K849">
        <v>0.80952677459526778</v>
      </c>
    </row>
    <row r="850" spans="1:11" x14ac:dyDescent="0.3">
      <c r="A850" s="1" t="str">
        <f>HYPERLINK("[.\tse_pressure_data\8404.xlsx]8404!$A268","﻿F-百和          ")</f>
        <v xml:space="preserve">﻿F-百和          </v>
      </c>
      <c r="B850">
        <v>1.0580095206465183</v>
      </c>
      <c r="C850">
        <v>0.9902985879055729</v>
      </c>
      <c r="D850">
        <v>1.0294600810426022</v>
      </c>
      <c r="E850">
        <v>1.0118019888536771</v>
      </c>
      <c r="F850">
        <v>0.91163092917478883</v>
      </c>
      <c r="G850">
        <v>0.86141362374546226</v>
      </c>
      <c r="H850">
        <v>0.9405411302640192</v>
      </c>
      <c r="I850">
        <v>1.162892544328135</v>
      </c>
      <c r="J850">
        <v>1.2116266070430408</v>
      </c>
      <c r="K850">
        <v>1.1551450589301904</v>
      </c>
    </row>
    <row r="851" spans="1:11" x14ac:dyDescent="0.3">
      <c r="A851" s="1" t="str">
        <f>HYPERLINK("[.\tse_pressure_data\8411.xlsx]8411!$A268","﻿F-福貞          ")</f>
        <v xml:space="preserve">﻿F-福貞          </v>
      </c>
      <c r="B851">
        <v>1.0667976424361494</v>
      </c>
      <c r="C851">
        <v>1.0633147113594041</v>
      </c>
      <c r="D851">
        <v>1.0651340996168583</v>
      </c>
      <c r="E851">
        <v>1.0413533834586466</v>
      </c>
      <c r="F851">
        <v>1.0023952095808384</v>
      </c>
      <c r="G851">
        <v>1.0388821385176186</v>
      </c>
      <c r="H851">
        <v>1.052890528905289</v>
      </c>
      <c r="I851">
        <v>1.0797011207970113</v>
      </c>
      <c r="J851">
        <v>1</v>
      </c>
      <c r="K851">
        <v>0.97274881516587675</v>
      </c>
    </row>
    <row r="852" spans="1:11" x14ac:dyDescent="0.3">
      <c r="A852" s="1" t="str">
        <f>HYPERLINK("[.\tse_pressure_data\8422.xlsx]8422!$A268","﻿可寧衛          ")</f>
        <v xml:space="preserve">﻿可寧衛          </v>
      </c>
      <c r="B852">
        <v>1.5926327193932828</v>
      </c>
      <c r="C852">
        <v>1.6892590465249857</v>
      </c>
      <c r="D852">
        <v>1.5731026785714286</v>
      </c>
      <c r="E852">
        <v>1.5296777840587903</v>
      </c>
      <c r="F852">
        <v>1.5085043988269795</v>
      </c>
      <c r="G852">
        <v>1.469090909090909</v>
      </c>
      <c r="H852">
        <v>1.4920835972134263</v>
      </c>
      <c r="I852">
        <v>1.6720392431674842</v>
      </c>
      <c r="J852">
        <v>1.8096699923254029</v>
      </c>
      <c r="K852">
        <v>1.5375966268446943</v>
      </c>
    </row>
    <row r="853" spans="1:11" x14ac:dyDescent="0.3">
      <c r="A853" s="1" t="str">
        <f>HYPERLINK("[.\tse_pressure_data\8427.xlsx]8427!$A268","﻿F-基勝          ")</f>
        <v xml:space="preserve">﻿F-基勝          </v>
      </c>
      <c r="B853">
        <v>1.0746268656716418</v>
      </c>
      <c r="C853">
        <v>1.0970149253731343</v>
      </c>
      <c r="D853">
        <v>1.1323529411764706</v>
      </c>
      <c r="E853">
        <v>1.1086956521739131</v>
      </c>
      <c r="F853">
        <v>1.0625</v>
      </c>
      <c r="G853">
        <v>1.0266666666666666</v>
      </c>
      <c r="H853">
        <v>1.0666666666666667</v>
      </c>
      <c r="I853">
        <v>1.0125786163522013</v>
      </c>
      <c r="J853">
        <v>0.85635359116022103</v>
      </c>
      <c r="K853">
        <v>0.83152173913043481</v>
      </c>
    </row>
    <row r="854" spans="1:11" x14ac:dyDescent="0.3">
      <c r="A854" s="1" t="str">
        <f>HYPERLINK("[.\tse_pressure_data\8429.xlsx]8429!$A268","﻿F-金麗          ")</f>
        <v xml:space="preserve">﻿F-金麗          </v>
      </c>
      <c r="B854">
        <v>1.3412698412698412</v>
      </c>
      <c r="C854">
        <v>1.1897194746229933</v>
      </c>
      <c r="D854">
        <v>1.1256813580439184</v>
      </c>
      <c r="E854">
        <v>1.0783921145849376</v>
      </c>
      <c r="F854">
        <v>1.0067415730337079</v>
      </c>
      <c r="G854">
        <v>0.9819844411082298</v>
      </c>
      <c r="H854">
        <v>1.0103415430670839</v>
      </c>
      <c r="I854">
        <v>0.99376693766937674</v>
      </c>
      <c r="J854">
        <v>0.99105914718019261</v>
      </c>
      <c r="K854">
        <v>0.88494508438253416</v>
      </c>
    </row>
    <row r="855" spans="1:11" x14ac:dyDescent="0.3">
      <c r="A855" s="1" t="str">
        <f>HYPERLINK("[.\tse_pressure_data\8443.xlsx]8443!$A268","﻿阿瘦            ")</f>
        <v xml:space="preserve">﻿阿瘦            </v>
      </c>
      <c r="B855">
        <v>1.2412280701754386</v>
      </c>
      <c r="C855">
        <v>1.2447257383966244</v>
      </c>
      <c r="D855">
        <v>1.2278481012658229</v>
      </c>
      <c r="E855">
        <v>1.0823529411764705</v>
      </c>
      <c r="F855">
        <v>1.0932835820895523</v>
      </c>
      <c r="G855">
        <v>1.0307167235494881</v>
      </c>
      <c r="H855">
        <v>0.94480519480519476</v>
      </c>
      <c r="I855">
        <v>1.0066006600660067</v>
      </c>
      <c r="J855">
        <v>0.94444444444444442</v>
      </c>
      <c r="K855">
        <v>0.96466431095406358</v>
      </c>
    </row>
    <row r="856" spans="1:11" x14ac:dyDescent="0.3">
      <c r="A856" s="1" t="str">
        <f>HYPERLINK("[.\tse_pressure_data\8454.xlsx]8454!$A268","﻿富邦媒          ")</f>
        <v xml:space="preserve">﻿富邦媒          </v>
      </c>
      <c r="B856">
        <v>0.52629364745477492</v>
      </c>
      <c r="C856">
        <v>0.61071789686552069</v>
      </c>
      <c r="D856">
        <v>0.78505291005291</v>
      </c>
      <c r="E856">
        <v>0.66320645905420994</v>
      </c>
      <c r="F856">
        <v>0.64604236343366783</v>
      </c>
      <c r="G856">
        <v>0.62733260153677273</v>
      </c>
      <c r="H856">
        <v>0.57530601383714741</v>
      </c>
      <c r="I856">
        <v>0.60811594202898556</v>
      </c>
      <c r="J856">
        <v>0.62725090036014408</v>
      </c>
      <c r="K856">
        <v>0.5190102595051298</v>
      </c>
    </row>
    <row r="857" spans="1:11" x14ac:dyDescent="0.3">
      <c r="A857" s="1" t="str">
        <f>HYPERLINK("[.\tse_pressure_data\8463.xlsx]8463!$A268","﻿潤泰材          ")</f>
        <v xml:space="preserve">﻿潤泰材          </v>
      </c>
      <c r="B857">
        <v>1.021311475409836</v>
      </c>
      <c r="C857">
        <v>1.0115321252059308</v>
      </c>
      <c r="D857">
        <v>0.98253968253968249</v>
      </c>
      <c r="E857">
        <v>0.9502407704654896</v>
      </c>
      <c r="F857">
        <v>0.94983818770226536</v>
      </c>
      <c r="G857">
        <v>0.97185430463576161</v>
      </c>
      <c r="H857">
        <v>1.0121527777777777</v>
      </c>
      <c r="I857">
        <v>1.0085470085470085</v>
      </c>
      <c r="J857">
        <v>0.95408163265306123</v>
      </c>
      <c r="K857">
        <v>0.9169675090252708</v>
      </c>
    </row>
    <row r="858" spans="1:11" x14ac:dyDescent="0.3">
      <c r="A858" s="1" t="str">
        <f>HYPERLINK("[.\tse_pressure_data\8464.xlsx]8464!$A268","﻿億豐            ")</f>
        <v xml:space="preserve">﻿億豐            </v>
      </c>
      <c r="B858">
        <v>1.2185217017619252</v>
      </c>
      <c r="C858">
        <v>1.325974025974026</v>
      </c>
      <c r="D858">
        <v>1.4178513167093918</v>
      </c>
      <c r="E858">
        <v>1.3576744186046512</v>
      </c>
      <c r="F858">
        <v>1.2634869182681177</v>
      </c>
      <c r="G858">
        <v>1.2830319888734354</v>
      </c>
      <c r="H858">
        <v>1.2913613146791028</v>
      </c>
      <c r="I858">
        <v>1.0587675922403956</v>
      </c>
      <c r="J858">
        <v>1.1711491442542787</v>
      </c>
      <c r="K858">
        <v>1.0267489711934157</v>
      </c>
    </row>
    <row r="859" spans="1:11" x14ac:dyDescent="0.3">
      <c r="A859" s="1" t="str">
        <f>HYPERLINK("[.\tse_pressure_data\8467.xlsx]8467!$A268","﻿F-波力          ")</f>
        <v xml:space="preserve">﻿F-波力          </v>
      </c>
      <c r="B859">
        <v>0.71186440677966101</v>
      </c>
      <c r="C859">
        <v>0.77586206896551724</v>
      </c>
      <c r="D859">
        <v>0.74137931034482762</v>
      </c>
      <c r="E859">
        <v>0.7</v>
      </c>
      <c r="F859">
        <v>0.78181818181818186</v>
      </c>
      <c r="G859">
        <v>0.7321428571428571</v>
      </c>
      <c r="H859">
        <v>0.81818181818181823</v>
      </c>
      <c r="I859">
        <v>0.56896551724137934</v>
      </c>
      <c r="J859">
        <v>0.83783783783783783</v>
      </c>
      <c r="K859">
        <v>0.84722222222222221</v>
      </c>
    </row>
    <row r="860" spans="1:11" x14ac:dyDescent="0.3">
      <c r="A860" s="1" t="str">
        <f>HYPERLINK("[.\tse_pressure_data\8926.xlsx]8926!$A268","﻿台汽電          ")</f>
        <v xml:space="preserve">﻿台汽電          </v>
      </c>
      <c r="B860">
        <v>1.0686636575023936</v>
      </c>
      <c r="C860">
        <v>1.0834239130434782</v>
      </c>
      <c r="D860">
        <v>1.1263215707812715</v>
      </c>
      <c r="E860">
        <v>1.077948034643571</v>
      </c>
      <c r="F860">
        <v>1.1285655229433651</v>
      </c>
      <c r="G860">
        <v>1.0633579725448785</v>
      </c>
      <c r="H860">
        <v>1.042242604314688</v>
      </c>
      <c r="I860">
        <v>1.0398004039443982</v>
      </c>
      <c r="J860">
        <v>1.2551951343132286</v>
      </c>
      <c r="K860">
        <v>1.2595364558184452</v>
      </c>
    </row>
    <row r="861" spans="1:11" x14ac:dyDescent="0.3">
      <c r="A861" s="1" t="str">
        <f>HYPERLINK("[.\tse_pressure_data\8940.xlsx]8940!$A268","﻿新天地          ")</f>
        <v xml:space="preserve">﻿新天地          </v>
      </c>
      <c r="B861">
        <v>1.7362637362637363</v>
      </c>
      <c r="C861">
        <v>1.4173913043478261</v>
      </c>
      <c r="D861">
        <v>1.2877697841726619</v>
      </c>
      <c r="E861">
        <v>1.3541666666666667</v>
      </c>
      <c r="F861">
        <v>1.4452554744525548</v>
      </c>
      <c r="G861">
        <v>0.84583333333333333</v>
      </c>
      <c r="H861">
        <v>0.93145161290322576</v>
      </c>
      <c r="I861">
        <v>0.92800000000000005</v>
      </c>
      <c r="J861">
        <v>0.98015873015873012</v>
      </c>
      <c r="K861">
        <v>0.97674418604651159</v>
      </c>
    </row>
    <row r="862" spans="1:11" x14ac:dyDescent="0.3">
      <c r="A862" s="1" t="str">
        <f>HYPERLINK("[.\tse_pressure_data\8996.xlsx]8996!$A268","﻿高力            ")</f>
        <v xml:space="preserve">﻿高力            </v>
      </c>
      <c r="B862">
        <v>0.75486016371077758</v>
      </c>
      <c r="C862">
        <v>0.73941536604294211</v>
      </c>
      <c r="D862">
        <v>0.71223083548664945</v>
      </c>
      <c r="E862">
        <v>0.69343939782738861</v>
      </c>
      <c r="F862">
        <v>0.69757038856240683</v>
      </c>
      <c r="G862">
        <v>0.69986613119143237</v>
      </c>
      <c r="H862">
        <v>0.69424395525081195</v>
      </c>
      <c r="I862">
        <v>0.70461751882679347</v>
      </c>
      <c r="J862">
        <v>0.67647643666732948</v>
      </c>
      <c r="K862">
        <v>0.6178772070626003</v>
      </c>
    </row>
    <row r="863" spans="1:11" x14ac:dyDescent="0.3">
      <c r="A863" s="1" t="str">
        <f>HYPERLINK("[.\tse_pressure_data\9103.xlsx]9103!$A268","﻿美德醫          ")</f>
        <v xml:space="preserve">﻿美德醫          </v>
      </c>
      <c r="B863">
        <v>1.2115384615384615</v>
      </c>
      <c r="C863">
        <v>1.1629242819843342</v>
      </c>
      <c r="D863">
        <v>0.96520423600605143</v>
      </c>
      <c r="E863">
        <v>0.90095238095238095</v>
      </c>
      <c r="F863">
        <v>0.89562363238512033</v>
      </c>
      <c r="G863">
        <v>0.80626598465473143</v>
      </c>
      <c r="H863">
        <v>0.8956031567080045</v>
      </c>
      <c r="I863">
        <v>0.90353477765108325</v>
      </c>
      <c r="J863">
        <v>0.85868544600938967</v>
      </c>
      <c r="K863">
        <v>0.821645628798504</v>
      </c>
    </row>
    <row r="864" spans="1:11" x14ac:dyDescent="0.3">
      <c r="A864" s="1" t="str">
        <f>HYPERLINK("[.\tse_pressure_data\9105.xlsx]9105!$A268","﻿泰金寶          ")</f>
        <v xml:space="preserve">﻿泰金寶          </v>
      </c>
      <c r="B864">
        <v>0.72394404516289934</v>
      </c>
      <c r="C864">
        <v>0.71680500258676927</v>
      </c>
      <c r="D864">
        <v>0.6611902236464986</v>
      </c>
      <c r="E864">
        <v>0.56697180013373605</v>
      </c>
      <c r="F864">
        <v>1.2127052105638829</v>
      </c>
      <c r="G864">
        <v>1.0818702973844501</v>
      </c>
      <c r="H864">
        <v>1.2479423868312758</v>
      </c>
      <c r="I864">
        <v>1.3501056031805194</v>
      </c>
      <c r="J864">
        <v>1.0892502047023043</v>
      </c>
      <c r="K864">
        <v>1.0884842862112953</v>
      </c>
    </row>
    <row r="865" spans="1:11" x14ac:dyDescent="0.3">
      <c r="A865" s="1" t="str">
        <f>HYPERLINK("[.\tse_pressure_data\9106.xlsx]9106!$A268","﻿新焦點          ")</f>
        <v xml:space="preserve">﻿新焦點          </v>
      </c>
      <c r="B865">
        <v>0.74518932340161392</v>
      </c>
      <c r="C865">
        <v>0.7008172796263864</v>
      </c>
      <c r="D865">
        <v>0.94536689876807711</v>
      </c>
      <c r="E865">
        <v>1.1383895592218665</v>
      </c>
      <c r="F865">
        <v>1.1437444543034605</v>
      </c>
      <c r="G865">
        <v>1.009397024275646</v>
      </c>
      <c r="H865">
        <v>1.1015057573073517</v>
      </c>
      <c r="I865">
        <v>1.4346666666666668</v>
      </c>
      <c r="J865">
        <v>1.4506338153901088</v>
      </c>
      <c r="K865">
        <v>1.3862890692453809</v>
      </c>
    </row>
    <row r="866" spans="1:11" x14ac:dyDescent="0.3">
      <c r="A866" s="1" t="str">
        <f>HYPERLINK("[.\tse_pressure_data\9110.xlsx]9110!$A268","﻿越南控          ")</f>
        <v xml:space="preserve">﻿越南控          </v>
      </c>
      <c r="B866">
        <v>1.3305084745762712</v>
      </c>
      <c r="C866">
        <v>1.3402489626556016</v>
      </c>
      <c r="D866">
        <v>1.3206751054852321</v>
      </c>
      <c r="E866">
        <v>1.3417721518987342</v>
      </c>
      <c r="F866">
        <v>1.4618834080717489</v>
      </c>
      <c r="G866">
        <v>1.4017094017094016</v>
      </c>
      <c r="H866">
        <v>1.3189655172413792</v>
      </c>
      <c r="I866">
        <v>1.3242009132420092</v>
      </c>
      <c r="J866">
        <v>1.3218884120171674</v>
      </c>
      <c r="K866">
        <v>1.2017543859649122</v>
      </c>
    </row>
    <row r="867" spans="1:11" x14ac:dyDescent="0.3">
      <c r="A867" s="1" t="str">
        <f>HYPERLINK("[.\tse_pressure_data\9136.xlsx]9136!$A268","﻿巨騰            ")</f>
        <v xml:space="preserve">﻿巨騰            </v>
      </c>
      <c r="B867">
        <v>2.0283390186302808</v>
      </c>
      <c r="C867">
        <v>1.6381800197823937</v>
      </c>
      <c r="D867">
        <v>1.5499166512317095</v>
      </c>
      <c r="E867">
        <v>1.5722292532995841</v>
      </c>
      <c r="F867">
        <v>1.3393468118195957</v>
      </c>
      <c r="G867">
        <v>1.3623146682021017</v>
      </c>
      <c r="H867">
        <v>1.3935884762039259</v>
      </c>
      <c r="I867">
        <v>1.3161146161934805</v>
      </c>
      <c r="J867">
        <v>0.98007678738196535</v>
      </c>
      <c r="K867">
        <v>0.93066767974166587</v>
      </c>
    </row>
    <row r="868" spans="1:11" x14ac:dyDescent="0.3">
      <c r="A868" s="1" t="str">
        <f>HYPERLINK("[.\tse_pressure_data\9157.xlsx]9157!$A268","﻿陽光能          ")</f>
        <v xml:space="preserve">﻿陽光能          </v>
      </c>
      <c r="B868">
        <v>0.985200845665962</v>
      </c>
      <c r="C868">
        <v>0.9285714285714286</v>
      </c>
      <c r="D868">
        <v>0.91566265060240959</v>
      </c>
      <c r="E868">
        <v>0.91552062868369355</v>
      </c>
      <c r="F868">
        <v>0.94488188976377951</v>
      </c>
      <c r="G868">
        <v>1.0262582056892779</v>
      </c>
      <c r="H868">
        <v>0.63372859025032935</v>
      </c>
      <c r="I868">
        <v>0.61847389558232935</v>
      </c>
      <c r="J868">
        <v>0.60686015831134565</v>
      </c>
      <c r="K868">
        <v>0.45517928286852588</v>
      </c>
    </row>
    <row r="869" spans="1:11" x14ac:dyDescent="0.3">
      <c r="A869" s="1" t="str">
        <f>HYPERLINK("[.\tse_pressure_data\9188.xlsx]9188!$A268","﻿精熙            ")</f>
        <v xml:space="preserve">﻿精熙            </v>
      </c>
      <c r="B869">
        <v>0.89511754068716098</v>
      </c>
      <c r="C869">
        <v>1.2531645569620253</v>
      </c>
      <c r="D869">
        <v>1.1330128205128205</v>
      </c>
      <c r="E869">
        <v>1.2365591397849462</v>
      </c>
      <c r="F869">
        <v>1.2020905923344947</v>
      </c>
      <c r="G869">
        <v>1.1165217391304347</v>
      </c>
      <c r="H869">
        <v>1.1433506044905009</v>
      </c>
      <c r="I869">
        <v>1.1724137931034482</v>
      </c>
      <c r="J869">
        <v>1.1279863481228669</v>
      </c>
      <c r="K869">
        <v>1.4140893470790379</v>
      </c>
    </row>
    <row r="870" spans="1:11" x14ac:dyDescent="0.3">
      <c r="A870" s="1" t="str">
        <f>HYPERLINK("[.\tse_pressure_data\9802.xlsx]9802!$A268","﻿F-鈺齊          ")</f>
        <v xml:space="preserve">﻿F-鈺齊          </v>
      </c>
      <c r="B870">
        <v>1.1344978165938864</v>
      </c>
      <c r="C870">
        <v>1.0818446198587452</v>
      </c>
      <c r="D870">
        <v>1.0524390243902439</v>
      </c>
      <c r="E870">
        <v>1.0003984063745019</v>
      </c>
      <c r="F870">
        <v>0.99338263915920588</v>
      </c>
      <c r="G870">
        <v>1.0284944166345784</v>
      </c>
      <c r="H870">
        <v>0.98420458819104928</v>
      </c>
      <c r="I870">
        <v>0.94397031539888687</v>
      </c>
      <c r="J870">
        <v>1.3845070422535211</v>
      </c>
      <c r="K870">
        <v>1.4257942152678995</v>
      </c>
    </row>
    <row r="871" spans="1:11" x14ac:dyDescent="0.3">
      <c r="A871" s="1" t="str">
        <f>HYPERLINK("[.\tse_pressure_data\9902.xlsx]9902!$A268","﻿台火            ")</f>
        <v xml:space="preserve">﻿台火            </v>
      </c>
      <c r="B871">
        <v>1.3119200571020699</v>
      </c>
      <c r="C871">
        <v>1.4313603966532382</v>
      </c>
      <c r="D871">
        <v>1.442066210045662</v>
      </c>
      <c r="E871">
        <v>1.9970588235294118</v>
      </c>
      <c r="F871">
        <v>0.67485337243401755</v>
      </c>
      <c r="G871">
        <v>0.67129195574723421</v>
      </c>
      <c r="H871">
        <v>0.67150806375554084</v>
      </c>
      <c r="I871">
        <v>0.67056808449900085</v>
      </c>
      <c r="J871">
        <v>0.67683334926857253</v>
      </c>
      <c r="K871">
        <v>0.67038140071092323</v>
      </c>
    </row>
    <row r="872" spans="1:11" x14ac:dyDescent="0.3">
      <c r="A872" s="1" t="str">
        <f>HYPERLINK("[.\tse_pressure_data\9904.xlsx]9904!$A268","﻿寶成            ")</f>
        <v xml:space="preserve">﻿寶成            </v>
      </c>
      <c r="B872">
        <v>0.79909916758523702</v>
      </c>
      <c r="C872">
        <v>0.86671629179575904</v>
      </c>
      <c r="D872">
        <v>0.80001195743154374</v>
      </c>
      <c r="E872">
        <v>0.73609642630577288</v>
      </c>
      <c r="F872">
        <v>0.72001324735539929</v>
      </c>
      <c r="G872">
        <v>0.73057060348643577</v>
      </c>
      <c r="H872">
        <v>0.82241235888294717</v>
      </c>
      <c r="I872">
        <v>0.84781313929098578</v>
      </c>
      <c r="J872">
        <v>0.84379164815637497</v>
      </c>
      <c r="K872">
        <v>0.88373290610516675</v>
      </c>
    </row>
    <row r="873" spans="1:11" x14ac:dyDescent="0.3">
      <c r="A873" s="1" t="str">
        <f>HYPERLINK("[.\tse_pressure_data\9905.xlsx]9905!$A268","﻿大華            ")</f>
        <v xml:space="preserve">﻿大華            </v>
      </c>
      <c r="B873">
        <v>1.0885826771653544</v>
      </c>
      <c r="C873">
        <v>1.0999039385206533</v>
      </c>
      <c r="D873">
        <v>1.0564814814814816</v>
      </c>
      <c r="E873">
        <v>1.0406871609403254</v>
      </c>
      <c r="F873">
        <v>1.01246660730187</v>
      </c>
      <c r="G873">
        <v>1.0126582278481013</v>
      </c>
      <c r="H873">
        <v>1.1234684260131951</v>
      </c>
      <c r="I873">
        <v>1.1037735849056605</v>
      </c>
      <c r="J873">
        <v>0.99381078691423519</v>
      </c>
      <c r="K873">
        <v>0.93345164152617566</v>
      </c>
    </row>
    <row r="874" spans="1:11" x14ac:dyDescent="0.3">
      <c r="A874" s="1" t="str">
        <f>HYPERLINK("[.\tse_pressure_data\9906.xlsx]9906!$A268","﻿欣巴巴          ")</f>
        <v xml:space="preserve">﻿欣巴巴          </v>
      </c>
      <c r="B874">
        <v>1.7528735632183907</v>
      </c>
      <c r="C874">
        <v>1.8558394160583942</v>
      </c>
      <c r="D874">
        <v>1.5645604395604396</v>
      </c>
      <c r="E874">
        <v>1.3015021459227467</v>
      </c>
      <c r="F874">
        <v>1.2621951219512195</v>
      </c>
      <c r="G874">
        <v>1.2832487309644669</v>
      </c>
      <c r="H874">
        <v>1.3333333333333333</v>
      </c>
      <c r="I874">
        <v>1.3</v>
      </c>
      <c r="J874">
        <v>1.2184873949579831</v>
      </c>
      <c r="K874">
        <v>1.1866666666666668</v>
      </c>
    </row>
    <row r="875" spans="1:11" x14ac:dyDescent="0.3">
      <c r="A875" s="1" t="str">
        <f>HYPERLINK("[.\tse_pressure_data\9907.xlsx]9907!$A268","﻿統一實          ")</f>
        <v xml:space="preserve">﻿統一實          </v>
      </c>
      <c r="B875">
        <v>1.4706375838926173</v>
      </c>
      <c r="C875">
        <v>1.2212578041723769</v>
      </c>
      <c r="D875">
        <v>1.2107969151670952</v>
      </c>
      <c r="E875">
        <v>1.1424840394660476</v>
      </c>
      <c r="F875">
        <v>1.1675492791997646</v>
      </c>
      <c r="G875">
        <v>1.0857547838412474</v>
      </c>
      <c r="H875">
        <v>1.1262164124909222</v>
      </c>
      <c r="I875">
        <v>1.2128992816750725</v>
      </c>
      <c r="J875">
        <v>0.93603570100409073</v>
      </c>
      <c r="K875">
        <v>0.93525179856115104</v>
      </c>
    </row>
    <row r="876" spans="1:11" x14ac:dyDescent="0.3">
      <c r="A876" s="1" t="str">
        <f>HYPERLINK("[.\tse_pressure_data\9908.xlsx]9908!$A268","﻿大台北          ")</f>
        <v xml:space="preserve">﻿大台北          </v>
      </c>
      <c r="B876">
        <v>0.66433566433566438</v>
      </c>
      <c r="C876">
        <v>0.68943855516293684</v>
      </c>
      <c r="D876">
        <v>0.74821570182394925</v>
      </c>
      <c r="E876">
        <v>0.80148019155420114</v>
      </c>
      <c r="F876">
        <v>0.81286031042128604</v>
      </c>
      <c r="G876">
        <v>0.80828082808280832</v>
      </c>
      <c r="H876">
        <v>0.94260599793174771</v>
      </c>
      <c r="I876">
        <v>0.93118756936736957</v>
      </c>
      <c r="J876">
        <v>0.94502923976608189</v>
      </c>
      <c r="K876">
        <v>0.94423320659062104</v>
      </c>
    </row>
    <row r="877" spans="1:11" x14ac:dyDescent="0.3">
      <c r="A877" s="1" t="str">
        <f>HYPERLINK("[.\tse_pressure_data\9910.xlsx]9910!$A268","﻿豐泰            ")</f>
        <v xml:space="preserve">﻿豐泰            </v>
      </c>
      <c r="B877">
        <v>0.88995148995148998</v>
      </c>
      <c r="C877">
        <v>0.8702224757558471</v>
      </c>
      <c r="D877">
        <v>0.76283547257876316</v>
      </c>
      <c r="E877">
        <v>0.68639816540060195</v>
      </c>
      <c r="F877">
        <v>0.66204056733262162</v>
      </c>
      <c r="G877">
        <v>0.73768283294842185</v>
      </c>
      <c r="H877">
        <v>0.79892818863879955</v>
      </c>
      <c r="I877">
        <v>0.87783516730294187</v>
      </c>
      <c r="J877">
        <v>1.0002333177788147</v>
      </c>
      <c r="K877">
        <v>0.97491601343784995</v>
      </c>
    </row>
    <row r="878" spans="1:11" x14ac:dyDescent="0.3">
      <c r="A878" s="1" t="str">
        <f>HYPERLINK("[.\tse_pressure_data\9911.xlsx]9911!$A268","﻿櫻花            ")</f>
        <v xml:space="preserve">﻿櫻花            </v>
      </c>
      <c r="B878">
        <v>0.67115077250932342</v>
      </c>
      <c r="C878">
        <v>0.77018181818181819</v>
      </c>
      <c r="D878">
        <v>0.91191827468785469</v>
      </c>
      <c r="E878">
        <v>0.87159883067236343</v>
      </c>
      <c r="F878">
        <v>0.86154916512059365</v>
      </c>
      <c r="G878">
        <v>0.84028203556100556</v>
      </c>
      <c r="H878">
        <v>0.88710801393728222</v>
      </c>
      <c r="I878">
        <v>0.91927899686520376</v>
      </c>
      <c r="J878">
        <v>0.98165137614678899</v>
      </c>
      <c r="K878">
        <v>0.9869779973057925</v>
      </c>
    </row>
    <row r="879" spans="1:11" x14ac:dyDescent="0.3">
      <c r="A879" s="1" t="str">
        <f>HYPERLINK("[.\tse_pressure_data\9912.xlsx]9912!$A268","﻿偉聯            ")</f>
        <v xml:space="preserve">﻿偉聯            </v>
      </c>
      <c r="B879">
        <v>0.7341587764020393</v>
      </c>
      <c r="C879">
        <v>0.71678832116788316</v>
      </c>
      <c r="D879">
        <v>0.74255156608097783</v>
      </c>
      <c r="E879">
        <v>0.72713297463489623</v>
      </c>
      <c r="F879">
        <v>0.745253164556962</v>
      </c>
      <c r="G879">
        <v>0.74840255591054317</v>
      </c>
      <c r="H879">
        <v>0.60725552050473186</v>
      </c>
      <c r="I879">
        <v>0.68290353390639924</v>
      </c>
      <c r="J879">
        <v>0.78761061946902655</v>
      </c>
      <c r="K879">
        <v>0.6950578338590957</v>
      </c>
    </row>
    <row r="880" spans="1:11" x14ac:dyDescent="0.3">
      <c r="A880" s="1" t="str">
        <f>HYPERLINK("[.\tse_pressure_data\9914.xlsx]9914!$A268","﻿美利達          ")</f>
        <v xml:space="preserve">﻿美利達          </v>
      </c>
      <c r="B880">
        <v>0.72568136494571234</v>
      </c>
      <c r="C880">
        <v>0.64943123061013441</v>
      </c>
      <c r="D880">
        <v>0.58127077946065753</v>
      </c>
      <c r="E880">
        <v>0.68773234200743494</v>
      </c>
      <c r="F880">
        <v>0.68950964630225076</v>
      </c>
      <c r="G880">
        <v>0.7433177768349597</v>
      </c>
      <c r="H880">
        <v>0.78723404255319152</v>
      </c>
      <c r="I880">
        <v>0.75805739514348791</v>
      </c>
      <c r="J880">
        <v>0.83702531645569622</v>
      </c>
      <c r="K880">
        <v>0.84694773825208602</v>
      </c>
    </row>
    <row r="881" spans="1:11" x14ac:dyDescent="0.3">
      <c r="A881" s="1" t="str">
        <f>HYPERLINK("[.\tse_pressure_data\9917.xlsx]9917!$A268","﻿中保            ")</f>
        <v xml:space="preserve">﻿中保            </v>
      </c>
      <c r="B881">
        <v>1.2969151670951158</v>
      </c>
      <c r="C881">
        <v>1.2605314322747894</v>
      </c>
      <c r="D881">
        <v>1.2391304347826086</v>
      </c>
      <c r="E881">
        <v>1.3686079545454546</v>
      </c>
      <c r="F881">
        <v>1.1865284974093264</v>
      </c>
      <c r="G881">
        <v>1.1027918781725887</v>
      </c>
      <c r="H881">
        <v>1.070886075949367</v>
      </c>
      <c r="I881">
        <v>1.287136294027565</v>
      </c>
      <c r="J881">
        <v>1.0947368421052632</v>
      </c>
      <c r="K881">
        <v>1.0531587057010785</v>
      </c>
    </row>
    <row r="882" spans="1:11" x14ac:dyDescent="0.3">
      <c r="A882" s="1" t="str">
        <f>HYPERLINK("[.\tse_pressure_data\9918.xlsx]9918!$A268","﻿欣天然          ")</f>
        <v xml:space="preserve">﻿欣天然          </v>
      </c>
      <c r="B882">
        <v>17.911504424778762</v>
      </c>
      <c r="C882">
        <v>18.189189189189189</v>
      </c>
      <c r="D882">
        <v>19.009433962264151</v>
      </c>
      <c r="E882">
        <v>0.87037037037037035</v>
      </c>
      <c r="F882">
        <v>0.78301886792452835</v>
      </c>
      <c r="G882">
        <v>0.77966101694915257</v>
      </c>
      <c r="H882">
        <v>0.8</v>
      </c>
      <c r="I882">
        <v>0.82905982905982911</v>
      </c>
      <c r="J882">
        <v>0.84496124031007747</v>
      </c>
      <c r="K882">
        <v>1.0603448275862069</v>
      </c>
    </row>
    <row r="883" spans="1:11" x14ac:dyDescent="0.3">
      <c r="A883" s="1" t="str">
        <f>HYPERLINK("[.\tse_pressure_data\9919.xlsx]9919!$A268","﻿康那香          ")</f>
        <v xml:space="preserve">﻿康那香          </v>
      </c>
      <c r="B883">
        <v>1.4872011846837319</v>
      </c>
      <c r="C883">
        <v>1.3646058990168306</v>
      </c>
      <c r="D883">
        <v>1.2423385897054449</v>
      </c>
      <c r="E883">
        <v>1.17505382131324</v>
      </c>
      <c r="F883">
        <v>1.2381872022659972</v>
      </c>
      <c r="G883">
        <v>1.0574224519940916</v>
      </c>
      <c r="H883">
        <v>0.97093834660536904</v>
      </c>
      <c r="I883">
        <v>0.90968103862798522</v>
      </c>
      <c r="J883">
        <v>0.91013769224575247</v>
      </c>
      <c r="K883">
        <v>0.86431833007175474</v>
      </c>
    </row>
    <row r="884" spans="1:11" x14ac:dyDescent="0.3">
      <c r="A884" s="1" t="str">
        <f>HYPERLINK("[.\tse_pressure_data\9921.xlsx]9921!$A268","﻿巨大            ")</f>
        <v xml:space="preserve">﻿巨大            </v>
      </c>
      <c r="B884">
        <v>1.063906390639064</v>
      </c>
      <c r="C884">
        <v>1.0897223754366612</v>
      </c>
      <c r="D884">
        <v>1.0155844155844156</v>
      </c>
      <c r="E884">
        <v>0.97710320901994796</v>
      </c>
      <c r="F884">
        <v>0.95456116102280586</v>
      </c>
      <c r="G884">
        <v>0.89768806073153895</v>
      </c>
      <c r="H884">
        <v>0.85163154316791301</v>
      </c>
      <c r="I884">
        <v>0.81543116490166412</v>
      </c>
      <c r="J884">
        <v>0.8617971623751971</v>
      </c>
      <c r="K884">
        <v>0.75688231245698556</v>
      </c>
    </row>
    <row r="885" spans="1:11" x14ac:dyDescent="0.3">
      <c r="A885" s="1" t="str">
        <f>HYPERLINK("[.\tse_pressure_data\9924.xlsx]9924!$A268","﻿福興            ")</f>
        <v xml:space="preserve">﻿福興            </v>
      </c>
      <c r="B885">
        <v>0.84646374216651743</v>
      </c>
      <c r="C885">
        <v>0.81167949298325037</v>
      </c>
      <c r="D885">
        <v>0.79658044717229282</v>
      </c>
      <c r="E885">
        <v>0.75403568394222598</v>
      </c>
      <c r="F885">
        <v>0.78100607111882048</v>
      </c>
      <c r="G885">
        <v>0.76909007773205307</v>
      </c>
      <c r="H885">
        <v>0.88215806909607197</v>
      </c>
      <c r="I885">
        <v>0.90105820105820111</v>
      </c>
      <c r="J885">
        <v>0.87412961971076597</v>
      </c>
      <c r="K885">
        <v>0.88238668961560529</v>
      </c>
    </row>
    <row r="886" spans="1:11" x14ac:dyDescent="0.3">
      <c r="A886" s="1" t="str">
        <f>HYPERLINK("[.\tse_pressure_data\9925.xlsx]9925!$A268","﻿新保            ")</f>
        <v xml:space="preserve">﻿新保            </v>
      </c>
      <c r="B886">
        <v>1.2843137254901962</v>
      </c>
      <c r="C886">
        <v>1.1592623637887678</v>
      </c>
      <c r="D886">
        <v>1.1957446808510639</v>
      </c>
      <c r="E886">
        <v>1.0922712933753944</v>
      </c>
      <c r="F886">
        <v>1.0984375</v>
      </c>
      <c r="G886">
        <v>1.0653543307086615</v>
      </c>
      <c r="H886">
        <v>1.1345218800648298</v>
      </c>
      <c r="I886">
        <v>1.1111111111111112</v>
      </c>
      <c r="J886">
        <v>1.1069131832797428</v>
      </c>
      <c r="K886">
        <v>1.0537459283387622</v>
      </c>
    </row>
    <row r="887" spans="1:11" x14ac:dyDescent="0.3">
      <c r="A887" s="1" t="str">
        <f>HYPERLINK("[.\tse_pressure_data\9926.xlsx]9926!$A268","﻿新海            ")</f>
        <v xml:space="preserve">﻿新海            </v>
      </c>
      <c r="B887">
        <v>0.70754716981132071</v>
      </c>
      <c r="C887">
        <v>0.66371681415929207</v>
      </c>
      <c r="D887">
        <v>0.60869565217391308</v>
      </c>
      <c r="E887">
        <v>0.59130434782608698</v>
      </c>
      <c r="F887">
        <v>0.65714285714285714</v>
      </c>
      <c r="G887">
        <v>0.56310679611650483</v>
      </c>
      <c r="H887">
        <v>0.58163265306122447</v>
      </c>
      <c r="I887">
        <v>0.72527472527472525</v>
      </c>
      <c r="J887">
        <v>0.73750000000000004</v>
      </c>
      <c r="K887">
        <v>0.72839506172839508</v>
      </c>
    </row>
    <row r="888" spans="1:11" x14ac:dyDescent="0.3">
      <c r="A888" s="1" t="str">
        <f>HYPERLINK("[.\tse_pressure_data\9927.xlsx]9927!$A268","﻿泰銘            ")</f>
        <v xml:space="preserve">﻿泰銘            </v>
      </c>
      <c r="B888">
        <v>1.0483005366726297</v>
      </c>
      <c r="C888">
        <v>1.0073800738007379</v>
      </c>
      <c r="D888">
        <v>0.92396092702547405</v>
      </c>
      <c r="E888">
        <v>0.919799962956103</v>
      </c>
      <c r="F888">
        <v>0.90829937013708784</v>
      </c>
      <c r="G888">
        <v>0.8781168589505024</v>
      </c>
      <c r="H888">
        <v>0.86280834914611004</v>
      </c>
      <c r="I888">
        <v>0.90825320512820518</v>
      </c>
      <c r="J888">
        <v>0.93472855366763363</v>
      </c>
      <c r="K888">
        <v>0.93295382669196714</v>
      </c>
    </row>
    <row r="889" spans="1:11" x14ac:dyDescent="0.3">
      <c r="A889" s="1" t="str">
        <f>HYPERLINK("[.\tse_pressure_data\9928.xlsx]9928!$A268","﻿中視            ")</f>
        <v xml:space="preserve">﻿中視            </v>
      </c>
      <c r="B889">
        <v>0.7831325301204819</v>
      </c>
      <c r="C889">
        <v>0.84967320261437906</v>
      </c>
      <c r="D889">
        <v>0.74853801169590639</v>
      </c>
      <c r="E889">
        <v>0.86875000000000002</v>
      </c>
      <c r="F889">
        <v>0.75438596491228072</v>
      </c>
      <c r="G889">
        <v>0.73563218390804597</v>
      </c>
      <c r="H889">
        <v>0.70707070707070707</v>
      </c>
      <c r="I889">
        <v>0.78074866310160429</v>
      </c>
      <c r="J889">
        <v>0.8351648351648352</v>
      </c>
      <c r="K889">
        <v>0.70588235294117652</v>
      </c>
    </row>
    <row r="890" spans="1:11" x14ac:dyDescent="0.3">
      <c r="A890" s="1" t="str">
        <f>HYPERLINK("[.\tse_pressure_data\9929.xlsx]9929!$A268","﻿秋雨            ")</f>
        <v xml:space="preserve">﻿秋雨            </v>
      </c>
      <c r="B890">
        <v>0.83578431372549022</v>
      </c>
      <c r="C890">
        <v>0.91773432231962238</v>
      </c>
      <c r="D890">
        <v>1.5873229939312206</v>
      </c>
      <c r="E890">
        <v>1.5886287625418061</v>
      </c>
      <c r="F890">
        <v>1.5910904255319149</v>
      </c>
      <c r="G890">
        <v>1.3259297520661157</v>
      </c>
      <c r="H890">
        <v>1.3703220191470844</v>
      </c>
      <c r="I890">
        <v>1.3591114767585355</v>
      </c>
      <c r="J890">
        <v>1.4127970749542962</v>
      </c>
      <c r="K890">
        <v>1.4049501546923342</v>
      </c>
    </row>
    <row r="891" spans="1:11" x14ac:dyDescent="0.3">
      <c r="A891" s="1" t="str">
        <f>HYPERLINK("[.\tse_pressure_data\9930.xlsx]9930!$A268","﻿中聯資          ")</f>
        <v xml:space="preserve">﻿中聯資          </v>
      </c>
      <c r="B891">
        <v>1.1765480895915679</v>
      </c>
      <c r="C891">
        <v>1.2627345844504021</v>
      </c>
      <c r="D891">
        <v>0.9255079006772009</v>
      </c>
      <c r="E891">
        <v>0.82023681377825619</v>
      </c>
      <c r="F891">
        <v>0.8270925110132159</v>
      </c>
      <c r="G891">
        <v>0.80043149946062564</v>
      </c>
      <c r="H891">
        <v>1.0218579234972678</v>
      </c>
      <c r="I891">
        <v>0.76595744680851063</v>
      </c>
      <c r="J891">
        <v>0.64296081277213357</v>
      </c>
      <c r="K891">
        <v>0.62207602339181289</v>
      </c>
    </row>
    <row r="892" spans="1:11" x14ac:dyDescent="0.3">
      <c r="A892" s="1" t="str">
        <f>HYPERLINK("[.\tse_pressure_data\9931.xlsx]9931!$A268","﻿欣高            ")</f>
        <v xml:space="preserve">﻿欣高            </v>
      </c>
      <c r="B892">
        <v>1.7142857142857142</v>
      </c>
      <c r="C892">
        <v>1.7571428571428571</v>
      </c>
      <c r="D892">
        <v>1.1203703703703705</v>
      </c>
      <c r="E892">
        <v>1.0789473684210527</v>
      </c>
      <c r="F892">
        <v>1.0789473684210527</v>
      </c>
      <c r="G892">
        <v>1.0431034482758621</v>
      </c>
      <c r="H892">
        <v>1.0603448275862069</v>
      </c>
      <c r="I892">
        <v>1.0695652173913044</v>
      </c>
      <c r="J892">
        <v>1</v>
      </c>
      <c r="K892">
        <v>0.95614035087719296</v>
      </c>
    </row>
    <row r="893" spans="1:11" x14ac:dyDescent="0.3">
      <c r="A893" s="1" t="str">
        <f>HYPERLINK("[.\tse_pressure_data\9933.xlsx]9933!$A268","﻿中鼎            ")</f>
        <v xml:space="preserve">﻿中鼎            </v>
      </c>
      <c r="B893">
        <v>1.0601851851851851</v>
      </c>
      <c r="C893">
        <v>1.0502253702511268</v>
      </c>
      <c r="D893">
        <v>1.0334123733563267</v>
      </c>
      <c r="E893">
        <v>1.0295070422535211</v>
      </c>
      <c r="F893">
        <v>1.0563969421606807</v>
      </c>
      <c r="G893">
        <v>0.98965126169549189</v>
      </c>
      <c r="H893">
        <v>0.97879246916251894</v>
      </c>
      <c r="I893">
        <v>0.88859902700415994</v>
      </c>
      <c r="J893">
        <v>0.78656878738444802</v>
      </c>
      <c r="K893">
        <v>0.80321940150333282</v>
      </c>
    </row>
    <row r="894" spans="1:11" x14ac:dyDescent="0.3">
      <c r="A894" s="1" t="str">
        <f>HYPERLINK("[.\tse_pressure_data\9934.xlsx]9934!$A268","﻿成霖            ")</f>
        <v xml:space="preserve">﻿成霖            </v>
      </c>
      <c r="B894">
        <v>1.7174789300109929</v>
      </c>
      <c r="C894">
        <v>1.7417743114794053</v>
      </c>
      <c r="D894">
        <v>1.7271521581866409</v>
      </c>
      <c r="E894">
        <v>1.6333828401690849</v>
      </c>
      <c r="F894">
        <v>1.6042853886482791</v>
      </c>
      <c r="G894">
        <v>1.5438456268554464</v>
      </c>
      <c r="H894">
        <v>1.6703731158883124</v>
      </c>
      <c r="I894">
        <v>1.690259654672466</v>
      </c>
      <c r="J894">
        <v>1.6051433163675328</v>
      </c>
      <c r="K894">
        <v>1.685500144133756</v>
      </c>
    </row>
    <row r="895" spans="1:11" x14ac:dyDescent="0.3">
      <c r="A895" s="1" t="str">
        <f>HYPERLINK("[.\tse_pressure_data\9935.xlsx]9935!$A268","﻿慶豐富          ")</f>
        <v xml:space="preserve">﻿慶豐富          </v>
      </c>
      <c r="B895">
        <v>0.82504763554477745</v>
      </c>
      <c r="C895">
        <v>0.84084457061745921</v>
      </c>
      <c r="D895">
        <v>0.81702802749867798</v>
      </c>
      <c r="E895">
        <v>0.75216487703498436</v>
      </c>
      <c r="F895">
        <v>0.64264317180616737</v>
      </c>
      <c r="G895">
        <v>0.71440245148110315</v>
      </c>
      <c r="H895">
        <v>0.79781054512957994</v>
      </c>
      <c r="I895">
        <v>0.84320639398213448</v>
      </c>
      <c r="J895">
        <v>0.82948657560056527</v>
      </c>
      <c r="K895">
        <v>0.82239473065161139</v>
      </c>
    </row>
    <row r="896" spans="1:11" x14ac:dyDescent="0.3">
      <c r="A896" s="1" t="str">
        <f>HYPERLINK("[.\tse_pressure_data\9937.xlsx]9937!$A268","﻿全國            ")</f>
        <v xml:space="preserve">﻿全國            </v>
      </c>
      <c r="B896">
        <v>0.7543478260869565</v>
      </c>
      <c r="C896">
        <v>0.74298056155507564</v>
      </c>
      <c r="D896">
        <v>0.75161987041036715</v>
      </c>
      <c r="E896">
        <v>0.74678111587982832</v>
      </c>
      <c r="F896">
        <v>0.75492341356673964</v>
      </c>
      <c r="G896">
        <v>0.74831460674157302</v>
      </c>
      <c r="H896">
        <v>0.75886524822695034</v>
      </c>
      <c r="I896">
        <v>0.90151515151515149</v>
      </c>
      <c r="J896">
        <v>0.89502762430939231</v>
      </c>
      <c r="K896">
        <v>0.86908077994428967</v>
      </c>
    </row>
    <row r="897" spans="1:11" x14ac:dyDescent="0.3">
      <c r="A897" s="1" t="str">
        <f>HYPERLINK("[.\tse_pressure_data\9938.xlsx]9938!$A268","﻿百和            ")</f>
        <v xml:space="preserve">﻿百和            </v>
      </c>
      <c r="B897">
        <v>1.8257790368271956</v>
      </c>
      <c r="C897">
        <v>1.7311709373986377</v>
      </c>
      <c r="D897">
        <v>1.8564056070855708</v>
      </c>
      <c r="E897">
        <v>1.7456343792633016</v>
      </c>
      <c r="F897">
        <v>1.7236832624828877</v>
      </c>
      <c r="G897">
        <v>1.4631082112861804</v>
      </c>
      <c r="H897">
        <v>1.5452331759149942</v>
      </c>
      <c r="I897">
        <v>1.5536174730775065</v>
      </c>
      <c r="J897">
        <v>1.638650657518582</v>
      </c>
      <c r="K897">
        <v>1.6626892252894034</v>
      </c>
    </row>
    <row r="898" spans="1:11" x14ac:dyDescent="0.3">
      <c r="A898" s="1" t="str">
        <f>HYPERLINK("[.\tse_pressure_data\9939.xlsx]9939!$A268","﻿宏全            ")</f>
        <v xml:space="preserve">﻿宏全            </v>
      </c>
      <c r="B898">
        <v>1.1914057850255921</v>
      </c>
      <c r="C898">
        <v>1.1963555659385585</v>
      </c>
      <c r="D898">
        <v>1.2841517060991559</v>
      </c>
      <c r="E898">
        <v>1.226077934055799</v>
      </c>
      <c r="F898">
        <v>1.2408493664946034</v>
      </c>
      <c r="G898">
        <v>1.2255811152595448</v>
      </c>
      <c r="H898">
        <v>1.3235408308528536</v>
      </c>
      <c r="I898">
        <v>1.3158861340679522</v>
      </c>
      <c r="J898">
        <v>1.3558324205914567</v>
      </c>
      <c r="K898">
        <v>1.2464959568733154</v>
      </c>
    </row>
    <row r="899" spans="1:11" x14ac:dyDescent="0.3">
      <c r="A899" s="1" t="str">
        <f>HYPERLINK("[.\tse_pressure_data\9940.xlsx]9940!$A268","﻿信義            ")</f>
        <v xml:space="preserve">﻿信義            </v>
      </c>
      <c r="B899">
        <v>1.3287922452187582</v>
      </c>
      <c r="C899">
        <v>1.2223865877712032</v>
      </c>
      <c r="D899">
        <v>1.1485915492957746</v>
      </c>
      <c r="E899">
        <v>1.0235065775285745</v>
      </c>
      <c r="F899">
        <v>0.99597883597883596</v>
      </c>
      <c r="G899">
        <v>0.97131573477447519</v>
      </c>
      <c r="H899">
        <v>0.96165999578681272</v>
      </c>
      <c r="I899">
        <v>0.94396920444824639</v>
      </c>
      <c r="J899">
        <v>0.99977064220183487</v>
      </c>
      <c r="K899">
        <v>0.99572243346007605</v>
      </c>
    </row>
    <row r="900" spans="1:11" x14ac:dyDescent="0.3">
      <c r="A900" s="1" t="str">
        <f>HYPERLINK("[.\tse_pressure_data\9941.xlsx]9941!$A268","﻿裕融            ")</f>
        <v xml:space="preserve">﻿裕融            </v>
      </c>
      <c r="B900">
        <v>0.9849165020650027</v>
      </c>
      <c r="C900">
        <v>0.96458745281323022</v>
      </c>
      <c r="D900">
        <v>0.94846111819340739</v>
      </c>
      <c r="E900">
        <v>0.84891964888588789</v>
      </c>
      <c r="F900">
        <v>0.77604428787116253</v>
      </c>
      <c r="G900">
        <v>0.76840696117804552</v>
      </c>
      <c r="H900">
        <v>0.77233720343260981</v>
      </c>
      <c r="I900">
        <v>0.76140700182512033</v>
      </c>
      <c r="J900">
        <v>0.74290484140233726</v>
      </c>
      <c r="K900">
        <v>0.70410264533502298</v>
      </c>
    </row>
    <row r="901" spans="1:11" x14ac:dyDescent="0.3">
      <c r="A901" s="1" t="str">
        <f>HYPERLINK("[.\tse_pressure_data\9942.xlsx]9942!$A268","﻿茂順            ")</f>
        <v xml:space="preserve">﻿茂順            </v>
      </c>
      <c r="B901">
        <v>1.0989810771470161</v>
      </c>
      <c r="C901">
        <v>1.1511299435028248</v>
      </c>
      <c r="D901">
        <v>1.0994397759103642</v>
      </c>
      <c r="E901">
        <v>1.0604395604395604</v>
      </c>
      <c r="F901">
        <v>0.91383812010443866</v>
      </c>
      <c r="G901">
        <v>0.88250319284802048</v>
      </c>
      <c r="H901">
        <v>0.91446540880503147</v>
      </c>
      <c r="I901">
        <v>0.9177377892030848</v>
      </c>
      <c r="J901">
        <v>0.9683377308707124</v>
      </c>
      <c r="K901">
        <v>0.79897567221510879</v>
      </c>
    </row>
    <row r="902" spans="1:11" x14ac:dyDescent="0.3">
      <c r="A902" s="1" t="str">
        <f>HYPERLINK("[.\tse_pressure_data\9943.xlsx]9943!$A268","﻿好樂迪          ")</f>
        <v xml:space="preserve">﻿好樂迪          </v>
      </c>
      <c r="B902">
        <v>0.86024250159540527</v>
      </c>
      <c r="C902">
        <v>0.85867507886435335</v>
      </c>
      <c r="D902">
        <v>0.80223186608803476</v>
      </c>
      <c r="E902">
        <v>0.8029832193909261</v>
      </c>
      <c r="F902">
        <v>0.80371517027863781</v>
      </c>
      <c r="G902">
        <v>0.83375156838143039</v>
      </c>
      <c r="H902">
        <v>0.82578174856413533</v>
      </c>
      <c r="I902">
        <v>0.79849340866290019</v>
      </c>
      <c r="J902">
        <v>0.81398332264271966</v>
      </c>
      <c r="K902">
        <v>0.68879148403256107</v>
      </c>
    </row>
    <row r="903" spans="1:11" x14ac:dyDescent="0.3">
      <c r="A903" s="1" t="str">
        <f>HYPERLINK("[.\tse_pressure_data\9944.xlsx]9944!$A268","﻿新麗            ")</f>
        <v xml:space="preserve">﻿新麗            </v>
      </c>
      <c r="B903">
        <v>1</v>
      </c>
      <c r="C903">
        <v>1.0541103017689906</v>
      </c>
      <c r="D903">
        <v>0.96485943775100402</v>
      </c>
      <c r="E903">
        <v>0.98123044838373308</v>
      </c>
      <c r="F903">
        <v>1.3515151515151516</v>
      </c>
      <c r="G903">
        <v>1.4437158469945355</v>
      </c>
      <c r="H903">
        <v>1.504950495049505</v>
      </c>
      <c r="I903">
        <v>1.4994450610432852</v>
      </c>
      <c r="J903">
        <v>1.3786802030456853</v>
      </c>
      <c r="K903">
        <v>1.4075235109717867</v>
      </c>
    </row>
    <row r="904" spans="1:11" x14ac:dyDescent="0.3">
      <c r="A904" s="1" t="str">
        <f>HYPERLINK("[.\tse_pressure_data\9945.xlsx]9945!$A268","﻿潤泰新          ")</f>
        <v xml:space="preserve">﻿潤泰新          </v>
      </c>
      <c r="B904">
        <v>0.87549040286859314</v>
      </c>
      <c r="C904">
        <v>0.85719264437565346</v>
      </c>
      <c r="D904">
        <v>0.79834537732240984</v>
      </c>
      <c r="E904">
        <v>0.77481005717866369</v>
      </c>
      <c r="F904">
        <v>0.69761895676727592</v>
      </c>
      <c r="G904">
        <v>0.71553239448270156</v>
      </c>
      <c r="H904">
        <v>0.76102133582722542</v>
      </c>
      <c r="I904">
        <v>0.70815281606931868</v>
      </c>
      <c r="J904">
        <v>0.70951737533251702</v>
      </c>
      <c r="K904">
        <v>0.64745276761452386</v>
      </c>
    </row>
    <row r="905" spans="1:11" x14ac:dyDescent="0.3">
      <c r="A905" s="1" t="str">
        <f>HYPERLINK("[.\tse_pressure_data\9946.xlsx]9946!$A268","﻿三發            ")</f>
        <v xml:space="preserve">﻿三發            </v>
      </c>
      <c r="B905">
        <v>1.7025089605734767</v>
      </c>
      <c r="C905">
        <v>1.2125727590221187</v>
      </c>
      <c r="D905">
        <v>1.0117623604465709</v>
      </c>
      <c r="E905">
        <v>0.97720533728687919</v>
      </c>
      <c r="F905">
        <v>0.88112367249057899</v>
      </c>
      <c r="G905">
        <v>0.81160100062539087</v>
      </c>
      <c r="H905">
        <v>0.81101904346562004</v>
      </c>
      <c r="I905">
        <v>0.76057126855222623</v>
      </c>
      <c r="J905">
        <v>0.75996595261739253</v>
      </c>
      <c r="K905">
        <v>0.74562887760857299</v>
      </c>
    </row>
    <row r="906" spans="1:11" x14ac:dyDescent="0.3">
      <c r="A906" s="1" t="str">
        <f>HYPERLINK("[.\tse_pressure_data\9955.xlsx]9955!$A268","﻿佳龍            ")</f>
        <v xml:space="preserve">﻿佳龍            </v>
      </c>
      <c r="B906">
        <v>1.3239845261121856</v>
      </c>
      <c r="C906">
        <v>1.6567796610169492</v>
      </c>
      <c r="D906">
        <v>0.97399588053553043</v>
      </c>
      <c r="E906">
        <v>0.88744126441691584</v>
      </c>
      <c r="F906">
        <v>0.88297213622291026</v>
      </c>
      <c r="G906">
        <v>0.86702551834130781</v>
      </c>
      <c r="H906">
        <v>0.84292471422940485</v>
      </c>
      <c r="I906">
        <v>0.84644268774703557</v>
      </c>
      <c r="J906">
        <v>0.8165046617734576</v>
      </c>
      <c r="K906">
        <v>0.81070859872611467</v>
      </c>
    </row>
    <row r="907" spans="1:11" x14ac:dyDescent="0.3">
      <c r="A907" s="1" t="str">
        <f>HYPERLINK("[.\tse_pressure_data\9958.xlsx]9958!$A268","﻿世紀鋼          ")</f>
        <v xml:space="preserve">﻿世紀鋼          </v>
      </c>
      <c r="B907">
        <v>0.33786053856103748</v>
      </c>
      <c r="C907">
        <v>0.32052814432332505</v>
      </c>
      <c r="D907">
        <v>0.28634832164790364</v>
      </c>
      <c r="E907">
        <v>0.27321126584128441</v>
      </c>
      <c r="F907">
        <v>0.24228650983764305</v>
      </c>
      <c r="G907">
        <v>0.24207331628303494</v>
      </c>
      <c r="H907">
        <v>0.24833887610371697</v>
      </c>
      <c r="I907">
        <v>0.26200386857771674</v>
      </c>
      <c r="J907">
        <v>0.25966048395693425</v>
      </c>
      <c r="K907">
        <v>0.24791897516283343</v>
      </c>
    </row>
  </sheetData>
  <mergeCells count="1">
    <mergeCell ref="A1:L1"/>
  </mergeCells>
  <phoneticPr fontId="3" type="noConversion"/>
  <conditionalFormatting sqref="B3:L35800">
    <cfRule type="cellIs" dxfId="0" priority="1" operator="lessThanOrEqual">
      <formula>0.6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TableValu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60960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Roi-Work</cp:lastModifiedBy>
  <dcterms:created xsi:type="dcterms:W3CDTF">2018-01-31T06:50:06Z</dcterms:created>
  <dcterms:modified xsi:type="dcterms:W3CDTF">2018-01-31T07:18:53Z</dcterms:modified>
</cp:coreProperties>
</file>